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e0c319c4b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90ca3bd71814055"/>
    <x:sheet xmlns:r="http://schemas.openxmlformats.org/officeDocument/2006/relationships" name="需求追踪矩阵" sheetId="2" r:id="R2f457c138a804981"/>
    <x:sheet xmlns:r="http://schemas.openxmlformats.org/officeDocument/2006/relationships" name="用例追踪" sheetId="3" r:id="R54748b67d4ce46c6"/>
    <x:sheet xmlns:r="http://schemas.openxmlformats.org/officeDocument/2006/relationships" name="API覆盖" sheetId="4" r:id="R6114c371737a48f2"/>
    <x:sheet xmlns:r="http://schemas.openxmlformats.org/officeDocument/2006/relationships" name="Frozen基线" sheetId="5" r:id="Rffe1a720bfd74941"/>
    <x:sheet xmlns:r="http://schemas.openxmlformats.org/officeDocument/2006/relationships" name="源需求覆盖" sheetId="6" r:id="Rbedb825ecf6d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13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4C9"/>
      <x:name val="Carlito"/>
    </x:font>
    <x:font>
      <x:i/>
      <x:sz val="11"/>
      <x:color rgb="FF6F7D77"/>
      <x:name val="Carlito"/>
    </x:font>
    <x:font>
      <x:b/>
      <x:sz val="11"/>
      <x:color rgb="FF173D39"/>
      <x:name val="Carlito"/>
    </x:font>
    <x:font>
      <x:b/>
      <x:sz val="20"/>
      <x:color rgb="FF173D39"/>
      <x:name val="Carlito"/>
    </x:font>
    <x:font>
      <x:sz val="9"/>
      <x:color rgb="FF253735"/>
      <x:name val="Carlito"/>
    </x:font>
    <x:font>
      <x:b/>
      <x:sz val="18"/>
      <x:color rgb="FFFFF1C7"/>
      <x:name val="Carlito"/>
    </x:font>
    <x:font>
      <x:i/>
      <x:sz val="10"/>
      <x:color rgb="FF64716E"/>
      <x:name val="Carlito"/>
    </x:font>
    <x:font>
      <x:b/>
      <x:sz val="10"/>
      <x:color rgb="FF16433F"/>
      <x:name val="Carlito"/>
    </x:font>
    <x:font>
      <x:b/>
      <x:sz val="18"/>
      <x:color rgb="FF16433F"/>
      <x:name val="Carlito"/>
    </x:font>
    <x:font>
      <x:b/>
      <x:sz val="11"/>
      <x:color rgb="FF16433F"/>
      <x:name val="Carlito"/>
    </x:font>
    <x:font>
      <x:b/>
      <x:sz val="11"/>
      <x:color rgb="FF174A4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D39"/>
      </x:patternFill>
    </x:fill>
    <x:fill>
      <x:patternFill patternType="solid">
        <x:fgColor rgb="FFF3F0E8"/>
      </x:patternFill>
    </x:fill>
    <x:fill>
      <x:patternFill patternType="solid">
        <x:fgColor rgb="FFE9E3D6"/>
      </x:patternFill>
    </x:fill>
    <x:fill>
      <x:patternFill patternType="solid">
        <x:fgColor rgb="FFFFFDF8"/>
      </x:patternFill>
    </x:fill>
    <x:fill>
      <x:patternFill patternType="solid">
        <x:fgColor rgb="FF16433F"/>
      </x:patternFill>
    </x:fill>
    <x:fill>
      <x:patternFill patternType="solid">
        <x:fgColor rgb="FFE8E1D1"/>
      </x:patternFill>
    </x:fill>
    <x:fill>
      <x:patternFill patternType="solid">
        <x:fgColor rgb="FFFBF9F3"/>
      </x:patternFill>
    </x:fill>
    <x:fill>
      <x:patternFill patternType="solid">
        <x:fgColor rgb="FFE9E1CF"/>
      </x:patternFill>
    </x:fill>
    <x:fill>
      <x:patternFill patternType="solid">
        <x:fgColor rgb="FF174A43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vertical="center"/>
    </x:xf>
    <x:xf numFmtId="201" fontId="10" fillId="8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horizontal="left" vertical="center"/>
    </x:xf>
    <x:xf numFmtId="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color rgb="FF365E40"/>
      </x:font>
      <x:fill>
        <x:patternFill>
          <x:bgColor rgb="FFE8F1E6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color rgb="FF7A5D00"/>
      </x:font>
      <x:fill>
        <x:patternFill>
          <x:bgColor rgb="FFFFF3C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color rgb="FF7A5D00"/>
      </x:font>
      <x:fill>
        <x:patternFill>
          <x:bgColor rgb="FFFFF3C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7A5D00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e0065fec741dd" /><Relationship Type="http://schemas.openxmlformats.org/officeDocument/2006/relationships/theme" Target="/xl/theme/theme1.xml" Id="R284a030e027f4efa" /><Relationship Type="http://schemas.openxmlformats.org/officeDocument/2006/relationships/sharedStrings" Target="/xl/sharedStrings.xml" Id="R20c481767d0d472f" /><Relationship Type="http://schemas.openxmlformats.org/officeDocument/2006/relationships/worksheet" Target="/xl/worksheets/sheet1.xml" Id="Re90ca3bd71814055" /><Relationship Type="http://schemas.openxmlformats.org/officeDocument/2006/relationships/worksheet" Target="/xl/worksheets/sheet2.xml" Id="R2f457c138a804981" /><Relationship Type="http://schemas.openxmlformats.org/officeDocument/2006/relationships/worksheet" Target="/xl/worksheets/sheet3.xml" Id="R54748b67d4ce46c6" /><Relationship Type="http://schemas.openxmlformats.org/officeDocument/2006/relationships/worksheet" Target="/xl/worksheets/sheet4.xml" Id="R6114c371737a48f2" /><Relationship Type="http://schemas.openxmlformats.org/officeDocument/2006/relationships/worksheet" Target="/xl/worksheets/sheet5.xml" Id="Rffe1a720bfd74941" /><Relationship Type="http://schemas.openxmlformats.org/officeDocument/2006/relationships/worksheet" Target="/xl/worksheets/sheet6.xml" Id="Rbedb825ecf6d48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139b2391244031" /><Relationship Type="http://schemas.openxmlformats.org/officeDocument/2006/relationships/chart" Target="/xl/drawings/charts/chart2.xml" Id="Rf0d37e915a5643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RTM 条目按模块分布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RTM条目数</c:v>
          </c:tx>
          <c:cat>
            <c:strRef>
              <c:f>'总览'!$A$14:$A$21</c:f>
              <c:strCache>
                <c:ptCount val="0"/>
              </c:strCache>
            </c:strRef>
          </c:cat>
          <c:val>
            <c:numRef>
              <c:f>'总览'!$B$14:$B$21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源需求组成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'总览'!$A$26:$A$28</c:f>
              <c:strCache>
                <c:ptCount val="0"/>
              </c:strCache>
            </c:strRef>
          </c:cat>
          <c:val>
            <c:numRef>
              <c:f>'总览'!$B$26:$B$28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4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139b2391244031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d37e915a5643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RTMTable" displayName="RTMTable" ref="A1:S53" headerRowCount="1" totalsRowCount="0" totalsRowShown="0">
  <x:autoFilter ref="A1:S53"/>
  <x:tableColumns count="19">
    <x:tableColumn id="1" name="追踪ID"/>
    <x:tableColumn id="2" name="来源需求ID"/>
    <x:tableColumn id="3" name="模块"/>
    <x:tableColumn id="4" name="子功能"/>
    <x:tableColumn id="5" name="Frozen需求/规则"/>
    <x:tableColumn id="6" name="角色"/>
    <x:tableColumn id="7" name="终端"/>
    <x:tableColumn id="8" name="关联用例"/>
    <x:tableColumn id="9" name="API ID"/>
    <x:tableColumn id="10" name="核心实体"/>
    <x:tableColumn id="11" name="状态/约束"/>
    <x:tableColumn id="12" name="原型覆盖"/>
    <x:tableColumn id="13" name="冻结状态"/>
    <x:tableColumn id="14" name="测试用例ID"/>
    <x:tableColumn id="15" name="测试层级"/>
    <x:tableColumn id="16" name="预期结果"/>
    <x:tableColumn id="17" name="执行状态"/>
    <x:tableColumn id="18" name="测试证据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UseCaseTable" displayName="UseCaseTable" ref="A1:J8" headerRowCount="1" totalsRowCount="0" totalsRowShown="0">
  <x:tableColumns count="10">
    <x:tableColumn id="1" name="用例ID"/>
    <x:tableColumn id="2" name="用例名称"/>
    <x:tableColumn id="3" name="参与者"/>
    <x:tableColumn id="4" name="前置条件"/>
    <x:tableColumn id="5" name="核心流程"/>
    <x:tableColumn id="6" name="状态变化"/>
    <x:tableColumn id="7" name="核心API"/>
    <x:tableColumn id="8" name="核心实体"/>
    <x:tableColumn id="9" name="高保真原型覆盖"/>
    <x:tableColumn id="10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APITable" displayName="APITable" ref="A1:N73" headerRowCount="1" totalsRowCount="0" totalsRowShown="0">
  <x:autoFilter ref="A1:N73"/>
  <x:tableColumns count="14">
    <x:tableColumn id="1" name="API ID"/>
    <x:tableColumn id="2" name="模块"/>
    <x:tableColumn id="3" name="Method"/>
    <x:tableColumn id="4" name="Endpoint"/>
    <x:tableColumn id="5" name="权限/可见性"/>
    <x:tableColumn id="6" name="用途"/>
    <x:tableColumn id="7" name="关联用例"/>
    <x:tableColumn id="8" name="关联RTM ID"/>
    <x:tableColumn id="9" name="关联实体"/>
    <x:tableColumn id="10" name="测试用例ID"/>
    <x:tableColumn id="11" name="实现状态"/>
    <x:tableColumn id="12" name="测试状态"/>
    <x:tableColumn id="13" name="原型入口"/>
    <x:tableColumn id="14" name="Frozen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FrozenBaselineTable" displayName="FrozenBaselineTable" ref="A1:D15" headerRowCount="1" totalsRowCount="0" totalsRowShown="0">
  <x:tableColumns count="4">
    <x:tableColumn id="1" name="基线类别"/>
    <x:tableColumn id="2" name="Artifact / 规则"/>
    <x:tableColumn id="3" name="当前状态"/>
    <x:tableColumn id="4" name="用途/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ourceReqTable" displayName="SourceReqTable" ref="A1:H121" headerRowCount="1" totalsRowCount="0" totalsRowShown="0">
  <x:autoFilter ref="A1:H121"/>
  <x:tableColumns count="8">
    <x:tableColumn id="1" name="来源需求ID"/>
    <x:tableColumn id="2" name="类型"/>
    <x:tableColumn id="3" name="模块/类别"/>
    <x:tableColumn id="4" name="正式条款"/>
    <x:tableColumn id="5" name="关联RTM ID"/>
    <x:tableColumn id="6" name="映射状态"/>
    <x:tableColumn id="7" name="来源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d0c69c8bef40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3303f03e7a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753bfbebe34a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d71e8777d645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1c5805c36d41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0674bd027641d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5" hidden="0" customWidth="1"/>
    <x:col min="5" max="5" width="24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6" customHeight="1">
      <x:c r="A1" s="65" t="str">
        <x:v>PetLink 需求追踪矩阵 · V1.1 Frozen</x:v>
      </x:c>
      <x:c r="B1" s="65"/>
      <x:c r="C1" s="65"/>
      <x:c r="D1" s="65"/>
      <x:c r="E1" s="65"/>
      <x:c r="F1" s="65"/>
      <x:c r="G1" s="65"/>
      <x:c r="H1" s="65"/>
    </x:row>
    <x:row r="2">
      <x:c r="A2"/>
      <x:c r="B2"/>
      <x:c r="C2"/>
      <x:c r="D2"/>
      <x:c r="E2"/>
      <x:c r="F2"/>
      <x:c r="G2"/>
      <x:c r="H2"/>
    </x:row>
    <x:row r="3" ht="22" customHeight="1">
      <x:c r="A3" s="67" t="str">
        <x:v>正式回溯 78 FR + 28 BR + 14 NFR；API反向追踪与测试状态纳入同一工作簿</x:v>
      </x:c>
      <x:c r="B3" s="67"/>
      <x:c r="C3" s="67"/>
      <x:c r="D3" s="67"/>
      <x:c r="E3" s="67"/>
      <x:c r="F3" s="67"/>
      <x:c r="G3" s="67"/>
      <x:c r="H3" s="67"/>
    </x:row>
    <x:row r="5" ht="28" customHeight="1">
      <x:c r="A5" s="71" t="str">
        <x:v>RTM 条目</x:v>
      </x:c>
      <x:c r="B5" s="71"/>
      <x:c r="C5" s="71" t="str">
        <x:v>核心用例</x:v>
      </x:c>
      <x:c r="D5" s="71"/>
      <x:c r="E5" s="71" t="str">
        <x:v>REST API</x:v>
      </x:c>
      <x:c r="F5" s="71"/>
      <x:c r="G5" s="71" t="str">
        <x:v>RTM 条目冻结率</x:v>
      </x:c>
      <x:c r="H5" s="71"/>
    </x:row>
    <x:row r="6" ht="28" customHeight="1">
      <x:c r="A6" s="75" t="n">
        <x:f>COUNTA('需求追踪矩阵'!$A$2:$A$200)</x:f>
        <x:v>52</x:v>
      </x:c>
      <x:c r="B6" s="75"/>
      <x:c r="C6" s="75" t="n">
        <x:f>COUNTA('用例追踪'!$A$2:$A$50)</x:f>
        <x:v>7</x:v>
      </x:c>
      <x:c r="D6" s="75"/>
      <x:c r="E6" s="75" t="n">
        <x:f>COUNTA('API覆盖'!$A$2:$A$200)</x:f>
        <x:v>72</x:v>
      </x:c>
      <x:c r="F6" s="75"/>
      <x:c r="G6" s="76" t="n">
        <x:f>COUNTIF('需求追踪矩阵'!$M$2:$M$200,"Frozen")/COUNTA('需求追踪矩阵'!$A$2:$A$200)</x:f>
        <x:v>1</x:v>
      </x:c>
      <x:c r="H6" s="76"/>
    </x:row>
    <x:row r="7" ht="28" customHeight="1">
      <x:c r="A7"/>
      <x:c r="B7"/>
      <x:c r="C7"/>
      <x:c r="D7"/>
      <x:c r="E7"/>
      <x:c r="F7"/>
      <x:c r="G7"/>
      <x:c r="H7"/>
    </x:row>
    <x:row r="8" ht="24" customHeight="1">
      <x:c r="A8" s="80" t="str">
        <x:v>源需求映射率</x:v>
      </x:c>
      <x:c r="B8" s="80"/>
      <x:c r="C8" s="80" t="str">
        <x:v>API 反向追踪率</x:v>
      </x:c>
      <x:c r="D8" s="80"/>
      <x:c r="E8" s="80" t="str">
        <x:v>测试用例覆盖率</x:v>
      </x:c>
      <x:c r="F8" s="80"/>
      <x:c r="G8" s="80" t="str">
        <x:v>测试通过率</x:v>
      </x:c>
      <x:c r="H8" s="80"/>
    </x:row>
    <x:row r="9" ht="28" customHeight="1">
      <x:c r="A9" s="76" t="n">
        <x:f>COUNTIF('源需求覆盖'!$F$2:$F$200,"已映射")/COUNTA('源需求覆盖'!$A$2:$A$200)</x:f>
        <x:v>1</x:v>
      </x:c>
      <x:c r="B9" s="76"/>
      <x:c r="C9" s="76" t="n">
        <x:f>COUNTIF('API覆盖'!$H$2:$H$200,"&lt;&gt;")/COUNTA('API覆盖'!$A$2:$A$200)</x:f>
        <x:v>1</x:v>
      </x:c>
      <x:c r="D9" s="76"/>
      <x:c r="E9" s="76" t="n">
        <x:f>COUNTIF('需求追踪矩阵'!$N$2:$N$200,"TC-*")/COUNTA('需求追踪矩阵'!$A$2:$A$200)</x:f>
        <x:v>0</x:v>
      </x:c>
      <x:c r="F9" s="76"/>
      <x:c r="G9" s="76" t="n">
        <x:f>IF((COUNTIF('需求追踪矩阵'!$Q$2:$Q$200,"通过")+COUNTIF('需求追踪矩阵'!$Q$2:$Q$200,"失败"))=0,0,COUNTIF('需求追踪矩阵'!$Q$2:$Q$200,"通过")/(COUNTIF('需求追踪矩阵'!$Q$2:$Q$200,"通过")+COUNTIF('需求追踪矩阵'!$Q$2:$Q$200,"失败")))</x:f>
        <x:v>0</x:v>
      </x:c>
      <x:c r="H9" s="76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E11"/>
      <x:c r="F11"/>
      <x:c r="G11"/>
      <x:c r="H11"/>
    </x:row>
    <x:row r="12" ht="24" customHeight="1">
      <x:c r="A12" s="78" t="str">
        <x:v>M01～M08 RTM 条目分布</x:v>
      </x:c>
      <x:c r="B12" s="78"/>
      <x:c r="C12" s="78"/>
      <x:c r="E12" s="78" t="str">
        <x:v>当前项目状态</x:v>
      </x:c>
      <x:c r="F12" s="78"/>
      <x:c r="G12" s="78"/>
      <x:c r="H12" s="78"/>
    </x:row>
    <x:row r="13" ht="24" customHeight="1">
      <x:c r="A13" s="51" t="str">
        <x:v>模块</x:v>
      </x:c>
      <x:c r="B13" s="51" t="str">
        <x:v>RTM条目数</x:v>
      </x:c>
      <x:c r="C13" s="51" t="str">
        <x:v>Frozen数</x:v>
      </x:c>
      <x:c r="E13" s="51" t="str">
        <x:v>层级</x:v>
      </x:c>
      <x:c r="F13" s="51" t="str">
        <x:v>状态</x:v>
      </x:c>
      <x:c r="G13" s="51" t="str">
        <x:v>是否继续修改</x:v>
      </x:c>
      <x:c r="H13" s="51" t="str">
        <x:v>下一步</x:v>
      </x:c>
    </x:row>
    <x:row r="14" ht="24" customHeight="1">
      <x:c r="A14" s="54" t="str">
        <x:v>M01 用户/认证</x:v>
      </x:c>
      <x:c r="B14" s="54" t="n">
        <x:f>COUNTIF('需求追踪矩阵'!$C$2:$C$200,A14)</x:f>
        <x:v>5</x:v>
      </x:c>
      <x:c r="C14" s="54" t="n">
        <x:f>COUNTIFS('需求追踪矩阵'!$C$2:$C$200,A14,'需求追踪矩阵'!$M$2:$M$200,"Frozen")</x:f>
        <x:v>5</x:v>
      </x:c>
      <x:c r="E14" s="54" t="str">
        <x:v>需求 M01～M08</x:v>
      </x:c>
      <x:c r="F14" s="54" t="str">
        <x:v>Frozen</x:v>
      </x:c>
      <x:c r="G14" s="54" t="str">
        <x:v>否</x:v>
      </x:c>
      <x:c r="H14" s="54" t="str">
        <x:v>按 RTM 进入实现与测试</x:v>
      </x:c>
    </x:row>
    <x:row r="15" ht="24" customHeight="1">
      <x:c r="A15" s="54" t="str">
        <x:v>M02 救助线索</x:v>
      </x:c>
      <x:c r="B15" s="54" t="n">
        <x:f>COUNTIF('需求追踪矩阵'!$C$2:$C$200,A15)</x:f>
        <x:v>7</x:v>
      </x:c>
      <x:c r="C15" s="54" t="n">
        <x:f>COUNTIFS('需求追踪矩阵'!$C$2:$C$200,A15,'需求追踪矩阵'!$M$2:$M$200,"Frozen")</x:f>
        <x:v>7</x:v>
      </x:c>
      <x:c r="E15" s="54" t="str">
        <x:v>REST API</x:v>
      </x:c>
      <x:c r="F15" s="54" t="str">
        <x:v>Frozen</x:v>
      </x:c>
      <x:c r="G15" s="54" t="str">
        <x:v>否</x:v>
      </x:c>
      <x:c r="H15" s="54" t="str">
        <x:v>Controller/Service 按 API ID 实现</x:v>
      </x:c>
    </x:row>
    <x:row r="16" ht="24" customHeight="1">
      <x:c r="A16" s="54" t="str">
        <x:v>M03 救助任务</x:v>
      </x:c>
      <x:c r="B16" s="54" t="n">
        <x:f>COUNTIF('需求追踪矩阵'!$C$2:$C$200,A16)</x:f>
        <x:v>10</x:v>
      </x:c>
      <x:c r="C16" s="54" t="n">
        <x:f>COUNTIFS('需求追踪矩阵'!$C$2:$C$200,A16,'需求追踪矩阵'!$M$2:$M$200,"Frozen")</x:f>
        <x:v>10</x:v>
      </x:c>
      <x:c r="E16" s="54" t="str">
        <x:v>数据库</x:v>
      </x:c>
      <x:c r="F16" s="54" t="str">
        <x:v>Frozen</x:v>
      </x:c>
      <x:c r="G16" s="54" t="str">
        <x:v>否</x:v>
      </x:c>
      <x:c r="H16" s="54" t="str">
        <x:v>按 sql/petlink.sql 建库</x:v>
      </x:c>
    </x:row>
    <x:row r="17" ht="24" customHeight="1">
      <x:c r="A17" s="54" t="str">
        <x:v>M04 动物档案</x:v>
      </x:c>
      <x:c r="B17" s="54" t="n">
        <x:f>COUNTIF('需求追踪矩阵'!$C$2:$C$200,A17)</x:f>
        <x:v>8</x:v>
      </x:c>
      <x:c r="C17" s="54" t="n">
        <x:f>COUNTIFS('需求追踪矩阵'!$C$2:$C$200,A17,'需求追踪矩阵'!$M$2:$M$200,"Frozen")</x:f>
        <x:v>8</x:v>
      </x:c>
      <x:c r="E17" s="54" t="str">
        <x:v>UC-01～UC-07</x:v>
      </x:c>
      <x:c r="F17" s="54" t="str">
        <x:v>Frozen</x:v>
      </x:c>
      <x:c r="G17" s="54" t="str">
        <x:v>否</x:v>
      </x:c>
      <x:c r="H17" s="54" t="str">
        <x:v>用于关键事务与测试设计</x:v>
      </x:c>
    </x:row>
    <x:row r="18" ht="24" customHeight="1">
      <x:c r="A18" s="54" t="str">
        <x:v>M05 领养管理</x:v>
      </x:c>
      <x:c r="B18" s="54" t="n">
        <x:f>COUNTIF('需求追踪矩阵'!$C$2:$C$200,A18)</x:f>
        <x:v>7</x:v>
      </x:c>
      <x:c r="C18" s="54" t="n">
        <x:f>COUNTIFS('需求追踪矩阵'!$C$2:$C$200,A18,'需求追踪矩阵'!$M$2:$M$200,"Frozen")</x:f>
        <x:v>7</x:v>
      </x:c>
      <x:c r="E18" s="54" t="str">
        <x:v>高保真原型 V2.1</x:v>
      </x:c>
      <x:c r="F18" s="54" t="str">
        <x:v>Frozen</x:v>
      </x:c>
      <x:c r="G18" s="54" t="str">
        <x:v>否</x:v>
      </x:c>
      <x:c r="H18" s="54" t="str">
        <x:v>迁移到 Vue3 / UniApp</x:v>
      </x:c>
    </x:row>
    <x:row r="19" ht="24" customHeight="1">
      <x:c r="A19" s="54" t="str">
        <x:v>M06 回访管理</x:v>
      </x:c>
      <x:c r="B19" s="54" t="n">
        <x:f>COUNTIF('需求追踪矩阵'!$C$2:$C$200,A19)</x:f>
        <x:v>4</x:v>
      </x:c>
      <x:c r="C19" s="54" t="n">
        <x:f>COUNTIFS('需求追踪矩阵'!$C$2:$C$200,A19,'需求追踪矩阵'!$M$2:$M$200,"Frozen")</x:f>
        <x:v>4</x:v>
      </x:c>
      <x:c r="E19" s="54" t="str">
        <x:v>需求追踪矩阵 V1.1</x:v>
      </x:c>
      <x:c r="F19" s="54" t="str">
        <x:v>Frozen</x:v>
      </x:c>
      <x:c r="G19" s="54" t="str">
        <x:v>否</x:v>
      </x:c>
      <x:c r="H19" s="54" t="str">
        <x:v>作为编码/测试总索引</x:v>
      </x:c>
    </x:row>
    <x:row r="20" ht="24" customHeight="1">
      <x:c r="A20" s="54" t="str">
        <x:v>M07 收藏/公告</x:v>
      </x:c>
      <x:c r="B20" s="54" t="n">
        <x:f>COUNTIF('需求追踪矩阵'!$C$2:$C$200,A20)</x:f>
        <x:v>5</x:v>
      </x:c>
      <x:c r="C20" s="54" t="n">
        <x:f>COUNTIFS('需求追踪矩阵'!$C$2:$C$200,A20,'需求追踪矩阵'!$M$2:$M$200,"Frozen")</x:f>
        <x:v>5</x:v>
      </x:c>
      <x:c r="E20" s="54" t="str">
        <x:v>project_state.md</x:v>
      </x:c>
      <x:c r="F20" s="54" t="str">
        <x:v>待同步</x:v>
      </x:c>
      <x:c r="G20" s="54" t="str">
        <x:v>是</x:v>
      </x:c>
      <x:c r="H20" s="54" t="str">
        <x:v>仅同步当前完成度与下一步工作</x:v>
      </x:c>
    </x:row>
    <x:row r="21" ht="24" customHeight="1">
      <x:c r="A21" s="54" t="str">
        <x:v>M08 后台管理</x:v>
      </x:c>
      <x:c r="B21" s="54" t="n">
        <x:f>COUNTIF('需求追踪矩阵'!$C$2:$C$200,A21)</x:f>
        <x:v>6</x:v>
      </x:c>
      <x:c r="C21" s="54" t="n">
        <x:f>COUNTIFS('需求追踪矩阵'!$C$2:$C$200,A21,'需求追踪矩阵'!$M$2:$M$200,"Frozen")</x:f>
        <x:v>6</x:v>
      </x:c>
      <x:c r="D21"/>
      <x:c r="E21" s="54" t="str">
        <x:v>实现与测试</x:v>
      </x:c>
      <x:c r="F21" s="54" t="str">
        <x:v>未开始</x:v>
      </x:c>
      <x:c r="G21" s="54" t="str">
        <x:v>是</x:v>
      </x:c>
      <x:c r="H21" s="54" t="str">
        <x:v>先设计测试用例，再开始模块编码</x:v>
      </x:c>
    </x:row>
    <x:row r="22" ht="24" customHeight="1">
      <x:c r="A22"/>
      <x:c r="B22"/>
      <x:c r="C22"/>
      <x:c r="D22"/>
      <x:c r="E22"/>
      <x:c r="F22"/>
      <x:c r="G22"/>
      <x:c r="H22"/>
    </x:row>
    <x:row r="23" ht="24" customHeight="1">
      <x:c r="A23"/>
      <x:c r="B23"/>
      <x:c r="C23"/>
      <x:c r="D23"/>
      <x:c r="E23"/>
      <x:c r="F23"/>
      <x:c r="G23"/>
      <x:c r="H23"/>
    </x:row>
    <x:row r="24" ht="24" customHeight="1">
      <x:c r="A24" s="78" t="str">
        <x:v>源需求分布</x:v>
      </x:c>
      <x:c r="B24" s="78"/>
      <x:c r="C24" s="78"/>
      <x:c r="D24"/>
      <x:c r="E24" s="83" t="str">
        <x:v>关键一致性规则</x:v>
      </x:c>
      <x:c r="F24" s="83"/>
      <x:c r="G24" s="83"/>
      <x:c r="H24" s="83"/>
    </x:row>
    <x:row r="25" ht="24" customHeight="1">
      <x:c r="A25" s="51" t="str">
        <x:v>类型</x:v>
      </x:c>
      <x:c r="B25" s="51" t="str">
        <x:v>数量</x:v>
      </x:c>
      <x:c r="C25"/>
      <x:c r="D25"/>
      <x:c r="E25" s="84" t="str">
        <x:v>规则</x:v>
      </x:c>
      <x:c r="F25" s="84" t="str">
        <x:v>Frozen结论</x:v>
      </x:c>
      <x:c r="G25" s="84"/>
      <x:c r="H25" s="84"/>
    </x:row>
    <x:row r="26" ht="24" customHeight="1">
      <x:c r="A26" s="54" t="str">
        <x:v>FR</x:v>
      </x:c>
      <x:c r="B26" s="54" t="n">
        <x:f>COUNTIF('源需求覆盖'!$B$2:$B$200,A26)</x:f>
        <x:v>78</x:v>
      </x:c>
      <x:c r="C26"/>
      <x:c r="D26"/>
      <x:c r="E26" s="54" t="str">
        <x:v>领养申请角色</x:v>
      </x:c>
      <x:c r="F26" s="54" t="str">
        <x:v>USER / RESCUER 均可申请；ADMIN 独立审核</x:v>
      </x:c>
      <x:c r="G26" s="54" t="str"/>
      <x:c r="H26" s="54" t="str"/>
    </x:row>
    <x:row r="27" ht="24" customHeight="1">
      <x:c r="A27" s="54" t="str">
        <x:v>BR</x:v>
      </x:c>
      <x:c r="B27" s="54" t="n">
        <x:f>COUNTIF('源需求覆盖'!$B$2:$B$200,A27)</x:f>
        <x:v>28</x:v>
      </x:c>
      <x:c r="E27" s="54" t="str">
        <x:v>公开动物</x:v>
      </x:c>
      <x:c r="F27" s="54" t="str">
        <x:v>仅 AVAILABLE 可公开列表/普通详情</x:v>
      </x:c>
      <x:c r="G27" s="54" t="str"/>
      <x:c r="H27" s="54" t="str"/>
    </x:row>
    <x:row r="28" ht="24" customHeight="1">
      <x:c r="A28" s="54" t="str">
        <x:v>NFR</x:v>
      </x:c>
      <x:c r="B28" s="54" t="n">
        <x:f>COUNTIF('源需求覆盖'!$B$2:$B$200,A28)</x:f>
        <x:v>14</x:v>
      </x:c>
      <x:c r="E28" s="54" t="str">
        <x:v>救助主链</x:v>
      </x:c>
      <x:c r="F28" s="54" t="str">
        <x:v>线索 → 审核 → 接取 → 救助 → 建档 → 领养 → 审核 → 领养记录 → 回访</x:v>
      </x:c>
      <x:c r="G28" s="54" t="str"/>
      <x:c r="H28" s="54" t="str"/>
    </x:row>
    <x:row r="29" ht="24" customHeight="1">
      <x:c r="A29" s="54" t="str">
        <x:v>TOTAL</x:v>
      </x:c>
      <x:c r="B29" s="54" t="n">
        <x:f>COUNTA('源需求覆盖'!$A$2:$A$200)</x:f>
        <x:v>120</x:v>
      </x:c>
      <x:c r="E29" s="54" t="str">
        <x:v>Animal ADOPTED</x:v>
      </x:c>
      <x:c r="F29" s="54" t="str">
        <x:v>只能由领养审核批准事务产生，不允许手工状态操作</x:v>
      </x:c>
      <x:c r="G29" s="54" t="str"/>
      <x:c r="H29" s="54" t="str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D10"/>
    <x:mergeCell ref="E10:H10"/>
    <x:mergeCell ref="A21:H21"/>
    <x:mergeCell ref="B22:H22"/>
    <x:mergeCell ref="B23:H23"/>
    <x:mergeCell ref="B24:H24"/>
    <x:mergeCell ref="B25:H25"/>
    <x:mergeCell ref="B26:H26"/>
    <x:mergeCell ref="A1:H1"/>
    <x:mergeCell ref="A6:B6"/>
    <x:mergeCell ref="C6:D6"/>
    <x:mergeCell ref="E6:F6"/>
    <x:mergeCell ref="G6:H6"/>
    <x:mergeCell ref="A8:B8"/>
    <x:mergeCell ref="C8:D8"/>
    <x:mergeCell ref="E8:F8"/>
    <x:mergeCell ref="G8:H8"/>
    <x:mergeCell ref="A9:B9"/>
    <x:mergeCell ref="C9:D9"/>
    <x:mergeCell ref="E9:F9"/>
    <x:mergeCell ref="G9:H9"/>
    <x:mergeCell ref="A12:C12"/>
    <x:mergeCell ref="E12:H12"/>
    <x:mergeCell ref="A24:C24"/>
    <x:mergeCell ref="E24:H24"/>
  </x:mergeCells>
  <x:pageMargins left="0.7" right="0.7" top="0.75" bottom="0.75" header="0.3" footer="0.3"/>
  <x:drawing xmlns:r="http://schemas.openxmlformats.org/officeDocument/2006/relationships" r:id="R13d0c69c8bef407b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5" hidden="0" customWidth="1"/>
    <x:col min="5" max="5" width="36" hidden="0" customWidth="1"/>
    <x:col min="6" max="6" width="18" hidden="0" customWidth="1"/>
    <x:col min="7" max="7" width="12" hidden="0" customWidth="1"/>
    <x:col min="8" max="8" width="12" hidden="0" customWidth="1"/>
    <x:col min="9" max="9" width="28" hidden="0" customWidth="1"/>
    <x:col min="10" max="10" width="28" hidden="0" customWidth="1"/>
    <x:col min="11" max="11" width="38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44" hidden="0" customWidth="1"/>
    <x:col min="17" max="17" width="12" hidden="0" customWidth="1"/>
    <x:col min="18" max="18" width="18" hidden="0" customWidth="1"/>
    <x:col min="19" max="19" width="26" hidden="0" customWidth="1"/>
  </x:cols>
  <x:sheetData>
    <x:row r="1" ht="30" customHeight="1">
      <x:c r="A1" s="55" t="str">
        <x:v>追踪ID</x:v>
      </x:c>
      <x:c r="B1" s="56" t="str">
        <x:v>来源需求ID</x:v>
      </x:c>
      <x:c r="C1" s="56" t="str">
        <x:v>模块</x:v>
      </x:c>
      <x:c r="D1" s="56" t="str">
        <x:v>子功能</x:v>
      </x:c>
      <x:c r="E1" s="56" t="str">
        <x:v>Frozen需求/规则</x:v>
      </x:c>
      <x:c r="F1" s="56" t="str">
        <x:v>角色</x:v>
      </x:c>
      <x:c r="G1" s="56" t="str">
        <x:v>终端</x:v>
      </x:c>
      <x:c r="H1" s="56" t="str">
        <x:v>关联用例</x:v>
      </x:c>
      <x:c r="I1" s="56" t="str">
        <x:v>API ID</x:v>
      </x:c>
      <x:c r="J1" s="56" t="str">
        <x:v>核心实体</x:v>
      </x:c>
      <x:c r="K1" s="56" t="str">
        <x:v>状态/约束</x:v>
      </x:c>
      <x:c r="L1" s="56" t="str">
        <x:v>原型覆盖</x:v>
      </x:c>
      <x:c r="M1" s="56" t="str">
        <x:v>冻结状态</x:v>
      </x:c>
      <x:c r="N1" s="56" t="str">
        <x:v>测试用例ID</x:v>
      </x:c>
      <x:c r="O1" s="56" t="str">
        <x:v>测试层级</x:v>
      </x:c>
      <x:c r="P1" s="56" t="str">
        <x:v>预期结果</x:v>
      </x:c>
      <x:c r="Q1" s="56" t="str">
        <x:v>执行状态</x:v>
      </x:c>
      <x:c r="R1" s="56" t="str">
        <x:v>测试证据</x:v>
      </x:c>
      <x:c r="S1" s="57" t="str">
        <x:v>备注</x:v>
      </x:c>
    </x:row>
    <x:row r="2" ht="44" customHeight="1">
      <x:c r="A2" s="58" t="str">
        <x:v>RTM-M01-01</x:v>
      </x:c>
      <x:c r="B2" s="59" t="str">
        <x:v>FR-AUTH-01；NFR-SEC-01；NFR-COMP-02；NFR-PER-02</x:v>
      </x:c>
      <x:c r="C2" s="59" t="str">
        <x:v>M01 用户/认证</x:v>
      </x:c>
      <x:c r="D2" s="59" t="str">
        <x:v>注册</x:v>
      </x:c>
      <x:c r="E2" s="59" t="str">
        <x:v>公开注册仅创建 USER</x:v>
      </x:c>
      <x:c r="F2" s="59" t="str">
        <x:v>VISITOR</x:v>
      </x:c>
      <x:c r="G2" s="59" t="str">
        <x:v>移动端</x:v>
      </x:c>
      <x:c r="H2" s="59" t="str">
        <x:v>—</x:v>
      </x:c>
      <x:c r="I2" s="59" t="str">
        <x:v>M01-API-01</x:v>
      </x:c>
      <x:c r="J2" s="59" t="str">
        <x:v>sys_user</x:v>
      </x:c>
      <x:c r="K2" s="59" t="str">
        <x:v>Public registration → USER</x:v>
      </x:c>
      <x:c r="L2" s="59" t="str">
        <x:v>已覆盖</x:v>
      </x:c>
      <x:c r="M2" s="59" t="str">
        <x:v>Frozen</x:v>
      </x:c>
      <x:c r="N2" s="59" t="str">
        <x:v>待设计</x:v>
      </x:c>
      <x:c r="O2" s="59" t="str">
        <x:v>待设计</x:v>
      </x:c>
      <x:c r="P2" s="59" t="str">
        <x:v>公开注册仅创建 USER；Public registration → USER</x:v>
      </x:c>
      <x:c r="Q2" s="59" t="str">
        <x:v>未执行</x:v>
      </x:c>
      <x:c r="R2" s="59" t="str">
        <x:v>—</x:v>
      </x:c>
      <x:c r="S2" s="60" t="str"/>
    </x:row>
    <x:row r="3" ht="44" customHeight="1">
      <x:c r="A3" s="58" t="str">
        <x:v>RTM-M01-02</x:v>
      </x:c>
      <x:c r="B3" s="59" t="str">
        <x:v>FR-AUTH-02；NFR-SEC-01；NFR-SEC-02；NFR-ERR-01；NFR-PER-02</x:v>
      </x:c>
      <x:c r="C3" s="59" t="str">
        <x:v>M01 用户/认证</x:v>
      </x:c>
      <x:c r="D3" s="59" t="str">
        <x:v>登录</x:v>
      </x:c>
      <x:c r="E3" s="59" t="str">
        <x:v>账号密码登录并返回 JWT</x:v>
      </x:c>
      <x:c r="F3" s="59" t="str">
        <x:v>VISITOR</x:v>
      </x:c>
      <x:c r="G3" s="59" t="str">
        <x:v>移动端</x:v>
      </x:c>
      <x:c r="H3" s="59" t="str">
        <x:v>—</x:v>
      </x:c>
      <x:c r="I3" s="59" t="str">
        <x:v>M01-API-02</x:v>
      </x:c>
      <x:c r="J3" s="59" t="str">
        <x:v>sys_user</x:v>
      </x:c>
      <x:c r="K3" s="59" t="str">
        <x:v>仅 ENABLED；密码 BCrypt 校验</x:v>
      </x:c>
      <x:c r="L3" s="59" t="str">
        <x:v>已覆盖</x:v>
      </x:c>
      <x:c r="M3" s="59" t="str">
        <x:v>Frozen</x:v>
      </x:c>
      <x:c r="N3" s="59" t="str">
        <x:v>待设计</x:v>
      </x:c>
      <x:c r="O3" s="59" t="str">
        <x:v>待设计</x:v>
      </x:c>
      <x:c r="P3" s="59" t="str">
        <x:v>账号密码登录并返回 JWT；仅 ENABLED；密码 BCrypt 校验</x:v>
      </x:c>
      <x:c r="Q3" s="59" t="str">
        <x:v>未执行</x:v>
      </x:c>
      <x:c r="R3" s="59" t="str">
        <x:v>—</x:v>
      </x:c>
      <x:c r="S3" s="60" t="str"/>
    </x:row>
    <x:row r="4" ht="44" customHeight="1">
      <x:c r="A4" s="58" t="str">
        <x:v>RTM-M01-03</x:v>
      </x:c>
      <x:c r="B4" s="59" t="str">
        <x:v>FR-AUTH-03；FR-USER-01；NFR-SEC-02；NFR-SEC-03；NFR-SEC-04；NFR-SEC-05；NFR-API-01；NFR-PER-01；NFR-COMP-01；NFR-COMP-02</x:v>
      </x:c>
      <x:c r="C4" s="59" t="str">
        <x:v>M01 用户/认证</x:v>
      </x:c>
      <x:c r="D4" s="59" t="str">
        <x:v>个人资料</x:v>
      </x:c>
      <x:c r="E4" s="59" t="str">
        <x:v>查看当前用户资料</x:v>
      </x:c>
      <x:c r="F4" s="59" t="str">
        <x:v>USER/RESCUER/ADMIN</x:v>
      </x:c>
      <x:c r="G4" s="59" t="str">
        <x:v>PC/移动端</x:v>
      </x:c>
      <x:c r="H4" s="59" t="str">
        <x:v>—</x:v>
      </x:c>
      <x:c r="I4" s="59" t="str">
        <x:v>M01-API-03</x:v>
      </x:c>
      <x:c r="J4" s="59" t="str">
        <x:v>sys_user</x:v>
      </x:c>
      <x:c r="K4" s="59" t="str">
        <x:v>身份来自 JWT + DB 当前角色</x:v>
      </x:c>
      <x:c r="L4" s="59" t="str">
        <x:v>已覆盖</x:v>
      </x:c>
      <x:c r="M4" s="59" t="str">
        <x:v>Frozen</x:v>
      </x:c>
      <x:c r="N4" s="59" t="str">
        <x:v>待设计</x:v>
      </x:c>
      <x:c r="O4" s="59" t="str">
        <x:v>待设计</x:v>
      </x:c>
      <x:c r="P4" s="59" t="str">
        <x:v>查看当前用户资料；身份来自 JWT + DB 当前角色</x:v>
      </x:c>
      <x:c r="Q4" s="59" t="str">
        <x:v>未执行</x:v>
      </x:c>
      <x:c r="R4" s="59" t="str">
        <x:v>—</x:v>
      </x:c>
      <x:c r="S4" s="60" t="str"/>
    </x:row>
    <x:row r="5" ht="44" customHeight="1">
      <x:c r="A5" s="58" t="str">
        <x:v>RTM-M01-04</x:v>
      </x:c>
      <x:c r="B5" s="59" t="str">
        <x:v>FR-USER-01；NFR-SEC-03；NFR-SEC-04；NFR-SEC-05；NFR-API-01；NFR-PER-02</x:v>
      </x:c>
      <x:c r="C5" s="59" t="str">
        <x:v>M01 用户/认证</x:v>
      </x:c>
      <x:c r="D5" s="59" t="str">
        <x:v>个人资料</x:v>
      </x:c>
      <x:c r="E5" s="59" t="str">
        <x:v>编辑昵称/手机号，禁止修改受保护字段</x:v>
      </x:c>
      <x:c r="F5" s="59" t="str">
        <x:v>USER/RESCUER/ADMIN</x:v>
      </x:c>
      <x:c r="G5" s="59" t="str">
        <x:v>PC/移动端</x:v>
      </x:c>
      <x:c r="H5" s="59" t="str">
        <x:v>—</x:v>
      </x:c>
      <x:c r="I5" s="59" t="str">
        <x:v>M01-API-04</x:v>
      </x:c>
      <x:c r="J5" s="59" t="str">
        <x:v>sys_user</x:v>
      </x:c>
      <x:c r="K5" s="59" t="str">
        <x:v>nickname trim1..50；phone 可空；禁止 role/status 等字段</x:v>
      </x:c>
      <x:c r="L5" s="59" t="str">
        <x:v>已覆盖</x:v>
      </x:c>
      <x:c r="M5" s="59" t="str">
        <x:v>Frozen</x:v>
      </x:c>
      <x:c r="N5" s="59" t="str">
        <x:v>待设计</x:v>
      </x:c>
      <x:c r="O5" s="59" t="str">
        <x:v>待设计</x:v>
      </x:c>
      <x:c r="P5" s="59" t="str">
        <x:v>编辑昵称/手机号，禁止修改受保护字段；nickname trim1..50；phone 可空；禁止 role/status 等字段</x:v>
      </x:c>
      <x:c r="Q5" s="59" t="str">
        <x:v>未执行</x:v>
      </x:c>
      <x:c r="R5" s="59" t="str">
        <x:v>—</x:v>
      </x:c>
      <x:c r="S5" s="60" t="str"/>
    </x:row>
    <x:row r="6" ht="44" customHeight="1">
      <x:c r="A6" s="58" t="str">
        <x:v>RTM-M01-05</x:v>
      </x:c>
      <x:c r="B6" s="59" t="str">
        <x:v>FR-FILE-01；FR-FILE-02；FR-FILE-03；FR-FILE-05；FR-FILE-06；FR-FILE-07；NFR-API-02；NFR-ERR-01</x:v>
      </x:c>
      <x:c r="C6" s="59" t="str">
        <x:v>M01 用户/认证</x:v>
      </x:c>
      <x:c r="D6" s="59" t="str">
        <x:v>共享文件</x:v>
      </x:c>
      <x:c r="E6" s="59" t="str">
        <x:v>临时上传 JPG/JPEG/PNG，单张≤5MB</x:v>
      </x:c>
      <x:c r="F6" s="59" t="str">
        <x:v>USER/RESCUER/ADMIN</x:v>
      </x:c>
      <x:c r="G6" s="59" t="str">
        <x:v>PC/移动端</x:v>
      </x:c>
      <x:c r="H6" s="59" t="str">
        <x:v>—</x:v>
      </x:c>
      <x:c r="I6" s="59" t="str">
        <x:v>COMMON-API-01</x:v>
      </x:c>
      <x:c r="J6" s="59" t="str">
        <x:v>temporary_file</x:v>
      </x:c>
      <x:c r="K6" s="59" t="str">
        <x:v>正式绑定前为 UPLOADED</x:v>
      </x:c>
      <x:c r="L6" s="59" t="str">
        <x:v>已覆盖</x:v>
      </x:c>
      <x:c r="M6" s="59" t="str">
        <x:v>Frozen</x:v>
      </x:c>
      <x:c r="N6" s="59" t="str">
        <x:v>待设计</x:v>
      </x:c>
      <x:c r="O6" s="59" t="str">
        <x:v>待设计</x:v>
      </x:c>
      <x:c r="P6" s="59" t="str">
        <x:v>临时上传 JPG/JPEG/PNG，单张≤5MB；正式绑定前为 UPLOADED</x:v>
      </x:c>
      <x:c r="Q6" s="59" t="str">
        <x:v>未执行</x:v>
      </x:c>
      <x:c r="R6" s="59" t="str">
        <x:v>—</x:v>
      </x:c>
      <x:c r="S6" s="60" t="str">
        <x:v>文件服务为共享能力</x:v>
      </x:c>
    </x:row>
    <x:row r="7" ht="44" customHeight="1">
      <x:c r="A7" s="58" t="str">
        <x:v>RTM-M02-01</x:v>
      </x:c>
      <x:c r="B7" s="59" t="str">
        <x:v>FR-CLUE-01；FR-CLUE-02；FR-FILE-01；FR-FILE-04；FR-FILE-05；FR-FILE-07；NFR-DATA-02；NFR-PER-02；NFR-COMP-02</x:v>
      </x:c>
      <x:c r="C7" s="59" t="str">
        <x:v>M02 救助线索</x:v>
      </x:c>
      <x:c r="D7" s="59" t="str">
        <x:v>发布线索</x:v>
      </x:c>
      <x:c r="E7" s="59" t="str">
        <x:v>发布救助线索，至少1张现场图</x:v>
      </x:c>
      <x:c r="F7" s="59" t="str">
        <x:v>USER/RESCUER</x:v>
      </x:c>
      <x:c r="G7" s="59" t="str">
        <x:v>移动端</x:v>
      </x:c>
      <x:c r="H7" s="59" t="str">
        <x:v>UC-01</x:v>
      </x:c>
      <x:c r="I7" s="59" t="str">
        <x:v>M02-API-01; M02-API-02</x:v>
      </x:c>
      <x:c r="J7" s="59" t="str">
        <x:v>rescue_clue,rescue_clue_image,temporary_file</x:v>
      </x:c>
      <x:c r="K7" s="59" t="str">
        <x:v>初始 PENDING_REVIEW；图片1..9；短期幂等</x:v>
      </x:c>
      <x:c r="L7" s="59" t="str">
        <x:v>已覆盖</x:v>
      </x:c>
      <x:c r="M7" s="59" t="str">
        <x:v>Frozen</x:v>
      </x:c>
      <x:c r="N7" s="59" t="str">
        <x:v>待设计</x:v>
      </x:c>
      <x:c r="O7" s="59" t="str">
        <x:v>待设计</x:v>
      </x:c>
      <x:c r="P7" s="59" t="str">
        <x:v>发布救助线索，至少1张现场图；初始 PENDING_REVIEW；图片1..9；短期幂等</x:v>
      </x:c>
      <x:c r="Q7" s="59" t="str">
        <x:v>未执行</x:v>
      </x:c>
      <x:c r="R7" s="59" t="str">
        <x:v>—</x:v>
      </x:c>
      <x:c r="S7" s="60" t="str"/>
    </x:row>
    <x:row r="8" ht="44" customHeight="1">
      <x:c r="A8" s="58" t="str">
        <x:v>RTM-M02-02</x:v>
      </x:c>
      <x:c r="B8" s="59" t="str">
        <x:v>FR-CLUE-03；NFR-PER-01</x:v>
      </x:c>
      <x:c r="C8" s="59" t="str">
        <x:v>M02 救助线索</x:v>
      </x:c>
      <x:c r="D8" s="59" t="str">
        <x:v>我的线索</x:v>
      </x:c>
      <x:c r="E8" s="59" t="str">
        <x:v>查看我的线索及状态</x:v>
      </x:c>
      <x:c r="F8" s="59" t="str">
        <x:v>USER/RESCUER</x:v>
      </x:c>
      <x:c r="G8" s="59" t="str">
        <x:v>移动端</x:v>
      </x:c>
      <x:c r="H8" s="59" t="str">
        <x:v>UC-01</x:v>
      </x:c>
      <x:c r="I8" s="59" t="str">
        <x:v>M02-API-03</x:v>
      </x:c>
      <x:c r="J8" s="59" t="str">
        <x:v>rescue_clue</x:v>
      </x:c>
      <x:c r="K8" s="59" t="str">
        <x:v>publisher_id=当前用户</x:v>
      </x:c>
      <x:c r="L8" s="59" t="str">
        <x:v>已覆盖</x:v>
      </x:c>
      <x:c r="M8" s="59" t="str">
        <x:v>Frozen</x:v>
      </x:c>
      <x:c r="N8" s="59" t="str">
        <x:v>待设计</x:v>
      </x:c>
      <x:c r="O8" s="59" t="str">
        <x:v>待设计</x:v>
      </x:c>
      <x:c r="P8" s="59" t="str">
        <x:v>查看我的线索及状态；publisher_id=当前用户</x:v>
      </x:c>
      <x:c r="Q8" s="59" t="str">
        <x:v>未执行</x:v>
      </x:c>
      <x:c r="R8" s="59" t="str">
        <x:v>—</x:v>
      </x:c>
      <x:c r="S8" s="60" t="str"/>
    </x:row>
    <x:row r="9" ht="44" customHeight="1">
      <x:c r="A9" s="58" t="str">
        <x:v>RTM-M02-03</x:v>
      </x:c>
      <x:c r="B9" s="59" t="str">
        <x:v>FR-CLUE-03；FR-AUTH-03；NFR-SEC-03；NFR-SEC-04；NFR-ERR-01</x:v>
      </x:c>
      <x:c r="C9" s="59" t="str">
        <x:v>M02 救助线索</x:v>
      </x:c>
      <x:c r="D9" s="59" t="str">
        <x:v>线索详情</x:v>
      </x:c>
      <x:c r="E9" s="59" t="str">
        <x:v>查看线索详情并遵守可见性规则</x:v>
      </x:c>
      <x:c r="F9" s="59" t="str">
        <x:v>USER/RESCUER/ADMIN</x:v>
      </x:c>
      <x:c r="G9" s="59" t="str">
        <x:v>PC/移动端</x:v>
      </x:c>
      <x:c r="H9" s="59" t="str">
        <x:v>UC-01/02/03</x:v>
      </x:c>
      <x:c r="I9" s="59" t="str">
        <x:v>M02-API-04; COMMON-MEDIA-01</x:v>
      </x:c>
      <x:c r="J9" s="59" t="str">
        <x:v>rescue_clue,rescue_clue_image,rescue_task</x:v>
      </x:c>
      <x:c r="K9" s="59" t="str">
        <x:v>不可见按404处理</x:v>
      </x:c>
      <x:c r="L9" s="59" t="str">
        <x:v>已覆盖</x:v>
      </x:c>
      <x:c r="M9" s="59" t="str">
        <x:v>Frozen</x:v>
      </x:c>
      <x:c r="N9" s="59" t="str">
        <x:v>待设计</x:v>
      </x:c>
      <x:c r="O9" s="59" t="str">
        <x:v>待设计</x:v>
      </x:c>
      <x:c r="P9" s="59" t="str">
        <x:v>查看线索详情并遵守可见性规则；不可见按404处理</x:v>
      </x:c>
      <x:c r="Q9" s="59" t="str">
        <x:v>未执行</x:v>
      </x:c>
      <x:c r="R9" s="59" t="str">
        <x:v>—</x:v>
      </x:c>
      <x:c r="S9" s="60" t="str"/>
    </x:row>
    <x:row r="10" ht="44" customHeight="1">
      <x:c r="A10" s="58" t="str">
        <x:v>RTM-M02-04</x:v>
      </x:c>
      <x:c r="B10" s="59" t="str">
        <x:v>FR-CLUE-04；BR-12；NFR-PER-02</x:v>
      </x:c>
      <x:c r="C10" s="59" t="str">
        <x:v>M02 救助线索</x:v>
      </x:c>
      <x:c r="D10" s="59" t="str">
        <x:v>修改线索</x:v>
      </x:c>
      <x:c r="E10" s="59" t="str">
        <x:v>本人待审核线索可修改</x:v>
      </x:c>
      <x:c r="F10" s="59" t="str">
        <x:v>USER/RESCUER</x:v>
      </x:c>
      <x:c r="G10" s="59" t="str">
        <x:v>移动端</x:v>
      </x:c>
      <x:c r="H10" s="59" t="str">
        <x:v>UC-01</x:v>
      </x:c>
      <x:c r="I10" s="59" t="str">
        <x:v>M02-API-05</x:v>
      </x:c>
      <x:c r="J10" s="59" t="str">
        <x:v>rescue_clue</x:v>
      </x:c>
      <x:c r="K10" s="59" t="str">
        <x:v>仅 PENDING_REVIEW</x:v>
      </x:c>
      <x:c r="L10" s="59" t="str">
        <x:v>已覆盖</x:v>
      </x:c>
      <x:c r="M10" s="59" t="str">
        <x:v>Frozen</x:v>
      </x:c>
      <x:c r="N10" s="59" t="str">
        <x:v>待设计</x:v>
      </x:c>
      <x:c r="O10" s="59" t="str">
        <x:v>待设计</x:v>
      </x:c>
      <x:c r="P10" s="59" t="str">
        <x:v>本人待审核线索可修改；仅 PENDING_REVIEW</x:v>
      </x:c>
      <x:c r="Q10" s="59" t="str">
        <x:v>未执行</x:v>
      </x:c>
      <x:c r="R10" s="59" t="str">
        <x:v>—</x:v>
      </x:c>
      <x:c r="S10" s="60" t="str"/>
    </x:row>
    <x:row r="11" ht="44" customHeight="1">
      <x:c r="A11" s="58" t="str">
        <x:v>RTM-M02-05</x:v>
      </x:c>
      <x:c r="B11" s="59" t="str">
        <x:v>FR-CLUE-04；FR-FILE-01；FR-FILE-02；FR-FILE-03；FR-FILE-04；FR-FILE-05；FR-FILE-06；FR-FILE-07；BR-12；NFR-API-02；NFR-DATA-02</x:v>
      </x:c>
      <x:c r="C11" s="59" t="str">
        <x:v>M02 救助线索</x:v>
      </x:c>
      <x:c r="D11" s="59" t="str">
        <x:v>线索图片</x:v>
      </x:c>
      <x:c r="E11" s="59" t="str">
        <x:v>待审核线索图片可追加/删除，至少保留1张</x:v>
      </x:c>
      <x:c r="F11" s="59" t="str">
        <x:v>USER/RESCUER</x:v>
      </x:c>
      <x:c r="G11" s="59" t="str">
        <x:v>移动端</x:v>
      </x:c>
      <x:c r="H11" s="59" t="str">
        <x:v>UC-01</x:v>
      </x:c>
      <x:c r="I11" s="59" t="str">
        <x:v>M02-API-06; M02-API-07</x:v>
      </x:c>
      <x:c r="J11" s="59" t="str">
        <x:v>rescue_clue_image,temporary_file</x:v>
      </x:c>
      <x:c r="K11" s="59" t="str">
        <x:v>总数1..9；删除后重排 sort_order</x:v>
      </x:c>
      <x:c r="L11" s="59" t="str">
        <x:v>已覆盖</x:v>
      </x:c>
      <x:c r="M11" s="59" t="str">
        <x:v>Frozen</x:v>
      </x:c>
      <x:c r="N11" s="59" t="str">
        <x:v>待设计</x:v>
      </x:c>
      <x:c r="O11" s="59" t="str">
        <x:v>待设计</x:v>
      </x:c>
      <x:c r="P11" s="59" t="str">
        <x:v>待审核线索图片可追加/删除，至少保留1张；总数1..9；删除后重排 sort_order</x:v>
      </x:c>
      <x:c r="Q11" s="59" t="str">
        <x:v>未执行</x:v>
      </x:c>
      <x:c r="R11" s="59" t="str">
        <x:v>—</x:v>
      </x:c>
      <x:c r="S11" s="60" t="str"/>
    </x:row>
    <x:row r="12" ht="44" customHeight="1">
      <x:c r="A12" s="58" t="str">
        <x:v>RTM-M02-06</x:v>
      </x:c>
      <x:c r="B12" s="59" t="str">
        <x:v>FR-CLUE-10；BR-12；BR-15；BR-16；BR-14；NFR-DATA-01</x:v>
      </x:c>
      <x:c r="C12" s="59" t="str">
        <x:v>M02 救助线索</x:v>
      </x:c>
      <x:c r="D12" s="59" t="str">
        <x:v>撤回线索</x:v>
      </x:c>
      <x:c r="E12" s="59" t="str">
        <x:v>本人可撤回待审核线索</x:v>
      </x:c>
      <x:c r="F12" s="59" t="str">
        <x:v>USER/RESCUER</x:v>
      </x:c>
      <x:c r="G12" s="59" t="str">
        <x:v>移动端</x:v>
      </x:c>
      <x:c r="H12" s="59" t="str">
        <x:v>UC-01</x:v>
      </x:c>
      <x:c r="I12" s="59" t="str">
        <x:v>M02-API-08</x:v>
      </x:c>
      <x:c r="J12" s="59" t="str">
        <x:v>rescue_clue,operation_log</x:v>
      </x:c>
      <x:c r="K12" s="59" t="str">
        <x:v>PENDING_REVIEW→WITHDRAWN</x:v>
      </x:c>
      <x:c r="L12" s="59" t="str">
        <x:v>已覆盖</x:v>
      </x:c>
      <x:c r="M12" s="59" t="str">
        <x:v>Frozen</x:v>
      </x:c>
      <x:c r="N12" s="59" t="str">
        <x:v>待设计</x:v>
      </x:c>
      <x:c r="O12" s="59" t="str">
        <x:v>待设计</x:v>
      </x:c>
      <x:c r="P12" s="59" t="str">
        <x:v>本人可撤回待审核线索；PENDING_REVIEW→WITHDRAWN</x:v>
      </x:c>
      <x:c r="Q12" s="59" t="str">
        <x:v>未执行</x:v>
      </x:c>
      <x:c r="R12" s="59" t="str">
        <x:v>—</x:v>
      </x:c>
      <x:c r="S12" s="60" t="str"/>
    </x:row>
    <x:row r="13" ht="44" customHeight="1">
      <x:c r="A13" s="58" t="str">
        <x:v>RTM-M02-07</x:v>
      </x:c>
      <x:c r="B13" s="59" t="str">
        <x:v>FR-CLUE-05；FR-CLUE-06；FR-CLUE-07；FR-CLUE-08；FR-CLUE-09；BR-14；NFR-DATA-01；NFR-SEC-03；NFR-SEC-04；NFR-COMP-01</x:v>
      </x:c>
      <x:c r="C13" s="59" t="str">
        <x:v>M02 救助线索</x:v>
      </x:c>
      <x:c r="D13" s="59" t="str">
        <x:v>审核线索</x:v>
      </x:c>
      <x:c r="E13" s="59" t="str">
        <x:v>ADMIN 审核通过/驳回线索</x:v>
      </x:c>
      <x:c r="F13" s="59" t="str">
        <x:v>ADMIN</x:v>
      </x:c>
      <x:c r="G13" s="59" t="str">
        <x:v>PC</x:v>
      </x:c>
      <x:c r="H13" s="59" t="str">
        <x:v>UC-02</x:v>
      </x:c>
      <x:c r="I13" s="59" t="str">
        <x:v>M02-API-09; M02-API-10</x:v>
      </x:c>
      <x:c r="J13" s="59" t="str">
        <x:v>rescue_clue,operation_log</x:v>
      </x:c>
      <x:c r="K13" s="59" t="str">
        <x:v>通过→WAITING_ACCEPT；驳回原因必填；保存审核人/时间</x:v>
      </x:c>
      <x:c r="L13" s="59" t="str">
        <x:v>已覆盖</x:v>
      </x:c>
      <x:c r="M13" s="59" t="str">
        <x:v>Frozen</x:v>
      </x:c>
      <x:c r="N13" s="59" t="str">
        <x:v>待设计</x:v>
      </x:c>
      <x:c r="O13" s="59" t="str">
        <x:v>待设计</x:v>
      </x:c>
      <x:c r="P13" s="59" t="str">
        <x:v>ADMIN 审核通过/驳回线索；通过→WAITING_ACCEPT；驳回原因必填；保存审核人/时间</x:v>
      </x:c>
      <x:c r="Q13" s="59" t="str">
        <x:v>未执行</x:v>
      </x:c>
      <x:c r="R13" s="59" t="str">
        <x:v>—</x:v>
      </x:c>
      <x:c r="S13" s="60" t="str"/>
    </x:row>
    <x:row r="14" ht="44" customHeight="1">
      <x:c r="A14" s="58" t="str">
        <x:v>RTM-M03-01</x:v>
      </x:c>
      <x:c r="B14" s="59" t="str">
        <x:v>FR-RESCUE-01；BR-03；NFR-PER-01</x:v>
      </x:c>
      <x:c r="C14" s="59" t="str">
        <x:v>M03 救助任务</x:v>
      </x:c>
      <x:c r="D14" s="59" t="str">
        <x:v>待接取线索</x:v>
      </x:c>
      <x:c r="E14" s="59" t="str">
        <x:v>RESCUER 查看 WAITING_ACCEPT 线索</x:v>
      </x:c>
      <x:c r="F14" s="59" t="str">
        <x:v>RESCUER</x:v>
      </x:c>
      <x:c r="G14" s="59" t="str">
        <x:v>移动端</x:v>
      </x:c>
      <x:c r="H14" s="59" t="str">
        <x:v>UC-03</x:v>
      </x:c>
      <x:c r="I14" s="59" t="str">
        <x:v>M03-API-01</x:v>
      </x:c>
      <x:c r="J14" s="59" t="str">
        <x:v>rescue_clue</x:v>
      </x:c>
      <x:c r="K14" s="59" t="str">
        <x:v>仅 WAITING_ACCEPT；FIFO</x:v>
      </x:c>
      <x:c r="L14" s="59" t="str">
        <x:v>已覆盖</x:v>
      </x:c>
      <x:c r="M14" s="59" t="str">
        <x:v>Frozen</x:v>
      </x:c>
      <x:c r="N14" s="59" t="str">
        <x:v>待设计</x:v>
      </x:c>
      <x:c r="O14" s="59" t="str">
        <x:v>待设计</x:v>
      </x:c>
      <x:c r="P14" s="59" t="str">
        <x:v>RESCUER 查看 WAITING_ACCEPT 线索；仅 WAITING_ACCEPT；FIFO</x:v>
      </x:c>
      <x:c r="Q14" s="59" t="str">
        <x:v>未执行</x:v>
      </x:c>
      <x:c r="R14" s="59" t="str">
        <x:v>—</x:v>
      </x:c>
      <x:c r="S14" s="60" t="str"/>
    </x:row>
    <x:row r="15" ht="44" customHeight="1">
      <x:c r="A15" s="58" t="str">
        <x:v>RTM-M03-02</x:v>
      </x:c>
      <x:c r="B15" s="59" t="str">
        <x:v>FR-RESCUE-02；FR-RESCUE-03；BR-01；BR-02；BR-03；BR-14；NFR-DATA-01；NFR-DATA-02；NFR-PER-02</x:v>
      </x:c>
      <x:c r="C15" s="59" t="str">
        <x:v>M03 救助任务</x:v>
      </x:c>
      <x:c r="D15" s="59" t="str">
        <x:v>接取任务</x:v>
      </x:c>
      <x:c r="E15" s="59" t="str">
        <x:v>RESCUER 接取线索创建任务</x:v>
      </x:c>
      <x:c r="F15" s="59" t="str">
        <x:v>RESCUER</x:v>
      </x:c>
      <x:c r="G15" s="59" t="str">
        <x:v>移动端</x:v>
      </x:c>
      <x:c r="H15" s="59" t="str">
        <x:v>UC-03</x:v>
      </x:c>
      <x:c r="I15" s="59" t="str">
        <x:v>M03-API-02</x:v>
      </x:c>
      <x:c r="J15" s="59" t="str">
        <x:v>rescue_clue,rescue_task,operation_log</x:v>
      </x:c>
      <x:c r="K15" s="59" t="str">
        <x:v>Clue WAITING_ACCEPT→CONVERTED；Task WAITING_START；并发冲突40901</x:v>
      </x:c>
      <x:c r="L15" s="59" t="str">
        <x:v>已覆盖</x:v>
      </x:c>
      <x:c r="M15" s="59" t="str">
        <x:v>Frozen</x:v>
      </x:c>
      <x:c r="N15" s="59" t="str">
        <x:v>待设计</x:v>
      </x:c>
      <x:c r="O15" s="59" t="str">
        <x:v>待设计</x:v>
      </x:c>
      <x:c r="P15" s="59" t="str">
        <x:v>RESCUER 接取线索创建任务；Clue WAITING_ACCEPT→CONVERTED；Task WAITING_START；并发冲突40901</x:v>
      </x:c>
      <x:c r="Q15" s="59" t="str">
        <x:v>未执行</x:v>
      </x:c>
      <x:c r="R15" s="59" t="str">
        <x:v>—</x:v>
      </x:c>
      <x:c r="S15" s="60" t="str"/>
    </x:row>
    <x:row r="16" ht="44" customHeight="1">
      <x:c r="A16" s="58" t="str">
        <x:v>RTM-M03-03</x:v>
      </x:c>
      <x:c r="B16" s="59" t="str">
        <x:v>FR-AUTH-03；BR-13；NFR-SEC-03；NFR-SEC-04；NFR-PER-01</x:v>
      </x:c>
      <x:c r="C16" s="59" t="str">
        <x:v>M03 救助任务</x:v>
      </x:c>
      <x:c r="D16" s="59" t="str">
        <x:v>任务查询</x:v>
      </x:c>
      <x:c r="E16" s="59" t="str">
        <x:v>查看本人任务和任务详情</x:v>
      </x:c>
      <x:c r="F16" s="59" t="str">
        <x:v>RESCUER/ADMIN</x:v>
      </x:c>
      <x:c r="G16" s="59" t="str">
        <x:v>移动端/PC</x:v>
      </x:c>
      <x:c r="H16" s="59" t="str">
        <x:v>UC-04</x:v>
      </x:c>
      <x:c r="I16" s="59" t="str">
        <x:v>M03-API-03; M03-API-04</x:v>
      </x:c>
      <x:c r="J16" s="59" t="str">
        <x:v>rescue_task,rescue_clue</x:v>
      </x:c>
      <x:c r="K16" s="59" t="str">
        <x:v>RESCUER仅本人；ADMIN可监管</x:v>
      </x:c>
      <x:c r="L16" s="59" t="str">
        <x:v>已覆盖</x:v>
      </x:c>
      <x:c r="M16" s="59" t="str">
        <x:v>Frozen</x:v>
      </x:c>
      <x:c r="N16" s="59" t="str">
        <x:v>待设计</x:v>
      </x:c>
      <x:c r="O16" s="59" t="str">
        <x:v>待设计</x:v>
      </x:c>
      <x:c r="P16" s="59" t="str">
        <x:v>查看本人任务和任务详情；RESCUER仅本人；ADMIN可监管</x:v>
      </x:c>
      <x:c r="Q16" s="59" t="str">
        <x:v>未执行</x:v>
      </x:c>
      <x:c r="R16" s="59" t="str">
        <x:v>—</x:v>
      </x:c>
      <x:c r="S16" s="60" t="str"/>
    </x:row>
    <x:row r="17" ht="44" customHeight="1">
      <x:c r="A17" s="58" t="str">
        <x:v>RTM-M03-04</x:v>
      </x:c>
      <x:c r="B17" s="59" t="str">
        <x:v>FR-RESCUE-04；FR-RESCUE-09；BR-13；BR-14；NFR-DATA-01</x:v>
      </x:c>
      <x:c r="C17" s="59" t="str">
        <x:v>M03 救助任务</x:v>
      </x:c>
      <x:c r="D17" s="59" t="str">
        <x:v>开始救助</x:v>
      </x:c>
      <x:c r="E17" s="59" t="str">
        <x:v>开始救助</x:v>
      </x:c>
      <x:c r="F17" s="59" t="str">
        <x:v>RESCUER</x:v>
      </x:c>
      <x:c r="G17" s="59" t="str">
        <x:v>移动端</x:v>
      </x:c>
      <x:c r="H17" s="59" t="str">
        <x:v>UC-04</x:v>
      </x:c>
      <x:c r="I17" s="59" t="str">
        <x:v>M03-API-05</x:v>
      </x:c>
      <x:c r="J17" s="59" t="str">
        <x:v>rescue_task,operation_log</x:v>
      </x:c>
      <x:c r="K17" s="59" t="str">
        <x:v>WAITING_START→IN_PROGRESS</x:v>
      </x:c>
      <x:c r="L17" s="59" t="str">
        <x:v>已覆盖</x:v>
      </x:c>
      <x:c r="M17" s="59" t="str">
        <x:v>Frozen</x:v>
      </x:c>
      <x:c r="N17" s="59" t="str">
        <x:v>待设计</x:v>
      </x:c>
      <x:c r="O17" s="59" t="str">
        <x:v>待设计</x:v>
      </x:c>
      <x:c r="P17" s="59" t="str">
        <x:v>开始救助；WAITING_START→IN_PROGRESS</x:v>
      </x:c>
      <x:c r="Q17" s="59" t="str">
        <x:v>未执行</x:v>
      </x:c>
      <x:c r="R17" s="59" t="str">
        <x:v>—</x:v>
      </x:c>
      <x:c r="S17" s="60" t="str"/>
    </x:row>
    <x:row r="18" ht="44" customHeight="1">
      <x:c r="A18" s="58" t="str">
        <x:v>RTM-M03-05</x:v>
      </x:c>
      <x:c r="B18" s="59" t="str">
        <x:v>FR-RESCUE-05；BR-13；NFR-PER-02</x:v>
      </x:c>
      <x:c r="C18" s="59" t="str">
        <x:v>M03 救助任务</x:v>
      </x:c>
      <x:c r="D18" s="59" t="str">
        <x:v>救助记录</x:v>
      </x:c>
      <x:c r="E18" s="59" t="str">
        <x:v>追加救助过程记录</x:v>
      </x:c>
      <x:c r="F18" s="59" t="str">
        <x:v>RESCUER</x:v>
      </x:c>
      <x:c r="G18" s="59" t="str">
        <x:v>移动端</x:v>
      </x:c>
      <x:c r="H18" s="59" t="str">
        <x:v>UC-04</x:v>
      </x:c>
      <x:c r="I18" s="59" t="str">
        <x:v>M03-API-06</x:v>
      </x:c>
      <x:c r="J18" s="59" t="str">
        <x:v>rescue_record,rescue_task</x:v>
      </x:c>
      <x:c r="K18" s="59" t="str">
        <x:v>仅本人 IN_PROGRESS 可追加；append-only</x:v>
      </x:c>
      <x:c r="L18" s="59" t="str">
        <x:v>已覆盖</x:v>
      </x:c>
      <x:c r="M18" s="59" t="str">
        <x:v>Frozen</x:v>
      </x:c>
      <x:c r="N18" s="59" t="str">
        <x:v>待设计</x:v>
      </x:c>
      <x:c r="O18" s="59" t="str">
        <x:v>待设计</x:v>
      </x:c>
      <x:c r="P18" s="59" t="str">
        <x:v>追加救助过程记录；仅本人 IN_PROGRESS 可追加；append-only</x:v>
      </x:c>
      <x:c r="Q18" s="59" t="str">
        <x:v>未执行</x:v>
      </x:c>
      <x:c r="R18" s="59" t="str">
        <x:v>—</x:v>
      </x:c>
      <x:c r="S18" s="60" t="str"/>
    </x:row>
    <x:row r="19" ht="44" customHeight="1">
      <x:c r="A19" s="58" t="str">
        <x:v>RTM-M03-06</x:v>
      </x:c>
      <x:c r="B19" s="59" t="str">
        <x:v>FR-RESCUE-05；FR-AUTH-03；NFR-PER-01</x:v>
      </x:c>
      <x:c r="C19" s="59" t="str">
        <x:v>M03 救助任务</x:v>
      </x:c>
      <x:c r="D19" s="59" t="str">
        <x:v>救助记录</x:v>
      </x:c>
      <x:c r="E19" s="59" t="str">
        <x:v>查看历史救助过程记录</x:v>
      </x:c>
      <x:c r="F19" s="59" t="str">
        <x:v>RESCUER/ADMIN</x:v>
      </x:c>
      <x:c r="G19" s="59" t="str">
        <x:v>移动端/PC</x:v>
      </x:c>
      <x:c r="H19" s="59" t="str">
        <x:v>UC-04</x:v>
      </x:c>
      <x:c r="I19" s="59" t="str">
        <x:v>M03-API-07</x:v>
      </x:c>
      <x:c r="J19" s="59" t="str">
        <x:v>rescue_record,rescue_task</x:v>
      </x:c>
      <x:c r="K19" s="59" t="str">
        <x:v>RESCUER本人/ADMIN；created_at ASC,id ASC</x:v>
      </x:c>
      <x:c r="L19" s="59" t="str">
        <x:v>已覆盖</x:v>
      </x:c>
      <x:c r="M19" s="59" t="str">
        <x:v>Frozen</x:v>
      </x:c>
      <x:c r="N19" s="59" t="str">
        <x:v>待设计</x:v>
      </x:c>
      <x:c r="O19" s="59" t="str">
        <x:v>待设计</x:v>
      </x:c>
      <x:c r="P19" s="59" t="str">
        <x:v>查看历史救助过程记录；RESCUER本人/ADMIN；created_at ASC,id ASC</x:v>
      </x:c>
      <x:c r="Q19" s="59" t="str">
        <x:v>未执行</x:v>
      </x:c>
      <x:c r="R19" s="59" t="str">
        <x:v>—</x:v>
      </x:c>
      <x:c r="S19" s="60" t="str"/>
    </x:row>
    <x:row r="20" ht="44" customHeight="1">
      <x:c r="A20" s="58" t="str">
        <x:v>RTM-M03-07</x:v>
      </x:c>
      <x:c r="B20" s="59" t="str">
        <x:v>FR-RESCUE-06；FR-RESCUE-07；FR-RESCUE-09；BR-14；BR-17；NFR-DATA-01</x:v>
      </x:c>
      <x:c r="C20" s="59" t="str">
        <x:v>M03 救助任务</x:v>
      </x:c>
      <x:c r="D20" s="59" t="str">
        <x:v>失败结果</x:v>
      </x:c>
      <x:c r="E20" s="59" t="str">
        <x:v>提交 FAILED 结果及失败原因</x:v>
      </x:c>
      <x:c r="F20" s="59" t="str">
        <x:v>RESCUER</x:v>
      </x:c>
      <x:c r="G20" s="59" t="str">
        <x:v>移动端</x:v>
      </x:c>
      <x:c r="H20" s="59" t="str">
        <x:v>UC-04</x:v>
      </x:c>
      <x:c r="I20" s="59" t="str">
        <x:v>M03-API-08</x:v>
      </x:c>
      <x:c r="J20" s="59" t="str">
        <x:v>rescue_task,rescue_clue,operation_log</x:v>
      </x:c>
      <x:c r="K20" s="59" t="str">
        <x:v>IN_PROGRESS→FAILED；Clue 保持 CONVERTED；失败原因必填</x:v>
      </x:c>
      <x:c r="L20" s="59" t="str">
        <x:v>已覆盖</x:v>
      </x:c>
      <x:c r="M20" s="59" t="str">
        <x:v>Frozen</x:v>
      </x:c>
      <x:c r="N20" s="59" t="str">
        <x:v>待设计</x:v>
      </x:c>
      <x:c r="O20" s="59" t="str">
        <x:v>待设计</x:v>
      </x:c>
      <x:c r="P20" s="59" t="str">
        <x:v>提交 FAILED 结果及失败原因；IN_PROGRESS→FAILED；Clue 保持 CONVERTED；失败原因必填</x:v>
      </x:c>
      <x:c r="Q20" s="59" t="str">
        <x:v>未执行</x:v>
      </x:c>
      <x:c r="R20" s="59" t="str">
        <x:v>—</x:v>
      </x:c>
      <x:c r="S20" s="60" t="str"/>
    </x:row>
    <x:row r="21" ht="44" customHeight="1">
      <x:c r="A21" s="58" t="str">
        <x:v>RTM-M03-08</x:v>
      </x:c>
      <x:c r="B21" s="59" t="str">
        <x:v>FR-RESCUE-06；FR-RESCUE-08；FR-RESCUE-09；FR-ANIMAL-01；BR-04；BR-14；BR-23；BR-26；NFR-DATA-01；NFR-DATA-02</x:v>
      </x:c>
      <x:c r="C21" s="59" t="str">
        <x:v>M03 救助任务</x:v>
      </x:c>
      <x:c r="D21" s="59" t="str">
        <x:v>成功结果/建档</x:v>
      </x:c>
      <x:c r="E21" s="59" t="str">
        <x:v>提交 SUCCESS 结果并创建≥1 Animal</x:v>
      </x:c>
      <x:c r="F21" s="59" t="str">
        <x:v>RESCUER</x:v>
      </x:c>
      <x:c r="G21" s="59" t="str">
        <x:v>移动端</x:v>
      </x:c>
      <x:c r="H21" s="59" t="str">
        <x:v>UC-04</x:v>
      </x:c>
      <x:c r="I21" s="59" t="str">
        <x:v>M03-API-08</x:v>
      </x:c>
      <x:c r="J21" s="59" t="str">
        <x:v>rescue_task,rescue_clue,animal,health_record,animal_image,operation_log</x:v>
      </x:c>
      <x:c r="K21" s="59" t="str">
        <x:v>Task SUCCESS + ≥1 Animal + Clue CLOSED 同事务</x:v>
      </x:c>
      <x:c r="L21" s="59" t="str">
        <x:v>已覆盖</x:v>
      </x:c>
      <x:c r="M21" s="59" t="str">
        <x:v>Frozen</x:v>
      </x:c>
      <x:c r="N21" s="59" t="str">
        <x:v>待设计</x:v>
      </x:c>
      <x:c r="O21" s="59" t="str">
        <x:v>待设计</x:v>
      </x:c>
      <x:c r="P21" s="59" t="str">
        <x:v>提交 SUCCESS 结果并创建≥1 Animal；Task SUCCESS + ≥1 Animal + Clue CLOSED 同事务</x:v>
      </x:c>
      <x:c r="Q21" s="59" t="str">
        <x:v>未执行</x:v>
      </x:c>
      <x:c r="R21" s="59" t="str">
        <x:v>—</x:v>
      </x:c>
      <x:c r="S21" s="60" t="str">
        <x:v>所有Animal图片合计≤9</x:v>
      </x:c>
    </x:row>
    <x:row r="22" ht="44" customHeight="1">
      <x:c r="A22" s="58" t="str">
        <x:v>RTM-M03-09</x:v>
      </x:c>
      <x:c r="B22" s="59" t="str">
        <x:v>FR-RESCUE-10；FR-RESCUE-09；BR-14；BR-18；BR-19；BR-27；NFR-DATA-01；NFR-DATA-02；NFR-COMP-01</x:v>
      </x:c>
      <x:c r="C22" s="59" t="str">
        <x:v>M03 救助任务</x:v>
      </x:c>
      <x:c r="D22" s="59" t="str">
        <x:v>异常取消</x:v>
      </x:c>
      <x:c r="E22" s="59" t="str">
        <x:v>ADMIN 取消异常活动任务</x:v>
      </x:c>
      <x:c r="F22" s="59" t="str">
        <x:v>ADMIN</x:v>
      </x:c>
      <x:c r="G22" s="59" t="str">
        <x:v>PC</x:v>
      </x:c>
      <x:c r="H22" s="59" t="str">
        <x:v>—</x:v>
      </x:c>
      <x:c r="I22" s="59" t="str">
        <x:v>M03-API-09</x:v>
      </x:c>
      <x:c r="J22" s="59" t="str">
        <x:v>rescue_task,rescue_clue,operation_log</x:v>
      </x:c>
      <x:c r="K22" s="59" t="str">
        <x:v>WAITING_START/IN_PROGRESS→CANCELED；Clue→WAITING_ACCEPT；原因必填</x:v>
      </x:c>
      <x:c r="L22" s="59" t="str">
        <x:v>已覆盖</x:v>
      </x:c>
      <x:c r="M22" s="59" t="str">
        <x:v>Frozen</x:v>
      </x:c>
      <x:c r="N22" s="59" t="str">
        <x:v>待设计</x:v>
      </x:c>
      <x:c r="O22" s="59" t="str">
        <x:v>待设计</x:v>
      </x:c>
      <x:c r="P22" s="59" t="str">
        <x:v>ADMIN 取消异常活动任务；WAITING_START/IN_PROGRESS→CANCELED；Clue→WAITING_ACCEPT；原因必填</x:v>
      </x:c>
      <x:c r="Q22" s="59" t="str">
        <x:v>未执行</x:v>
      </x:c>
      <x:c r="R22" s="59" t="str">
        <x:v>—</x:v>
      </x:c>
      <x:c r="S22" s="60" t="str"/>
    </x:row>
    <x:row r="23" ht="44" customHeight="1">
      <x:c r="A23" s="58" t="str">
        <x:v>RTM-M03-10</x:v>
      </x:c>
      <x:c r="B23" s="59" t="str">
        <x:v>FR-RESCUE-11；BR-17；BR-14；NFR-DATA-01；NFR-DATA-02</x:v>
      </x:c>
      <x:c r="C23" s="59" t="str">
        <x:v>M03 救助任务</x:v>
      </x:c>
      <x:c r="D23" s="59" t="str">
        <x:v>失败处置</x:v>
      </x:c>
      <x:c r="E23" s="59" t="str">
        <x:v>ADMIN 处理 FAILED：REOPEN/CLOSE</x:v>
      </x:c>
      <x:c r="F23" s="59" t="str">
        <x:v>ADMIN</x:v>
      </x:c>
      <x:c r="G23" s="59" t="str">
        <x:v>PC</x:v>
      </x:c>
      <x:c r="H23" s="59" t="str">
        <x:v>—</x:v>
      </x:c>
      <x:c r="I23" s="59" t="str">
        <x:v>M03-API-10</x:v>
      </x:c>
      <x:c r="J23" s="59" t="str">
        <x:v>rescue_task,rescue_clue,operation_log</x:v>
      </x:c>
      <x:c r="K23" s="59" t="str">
        <x:v>目标为最新FAILED且无其他活动任务；resolutionReason必填</x:v>
      </x:c>
      <x:c r="L23" s="59" t="str">
        <x:v>已覆盖</x:v>
      </x:c>
      <x:c r="M23" s="59" t="str">
        <x:v>Frozen</x:v>
      </x:c>
      <x:c r="N23" s="59" t="str">
        <x:v>待设计</x:v>
      </x:c>
      <x:c r="O23" s="59" t="str">
        <x:v>待设计</x:v>
      </x:c>
      <x:c r="P23" s="59" t="str">
        <x:v>ADMIN 处理 FAILED：REOPEN/CLOSE；目标为最新FAILED且无其他活动任务；resolutionReason必填</x:v>
      </x:c>
      <x:c r="Q23" s="59" t="str">
        <x:v>未执行</x:v>
      </x:c>
      <x:c r="R23" s="59" t="str">
        <x:v>—</x:v>
      </x:c>
      <x:c r="S23" s="60" t="str"/>
    </x:row>
    <x:row r="24" ht="44" customHeight="1">
      <x:c r="A24" s="58" t="str">
        <x:v>RTM-M04-01</x:v>
      </x:c>
      <x:c r="B24" s="59" t="str">
        <x:v>FR-ANIMAL-09；BR-25；NFR-PER-01</x:v>
      </x:c>
      <x:c r="C24" s="59" t="str">
        <x:v>M04 动物档案</x:v>
      </x:c>
      <x:c r="D24" s="59" t="str">
        <x:v>公开动物</x:v>
      </x:c>
      <x:c r="E24" s="59" t="str">
        <x:v>公开列表只展示 AVAILABLE 动物</x:v>
      </x:c>
      <x:c r="F24" s="59" t="str">
        <x:v>VISITOR/USER/RESCUER</x:v>
      </x:c>
      <x:c r="G24" s="59" t="str">
        <x:v>移动端</x:v>
      </x:c>
      <x:c r="H24" s="59" t="str">
        <x:v>—</x:v>
      </x:c>
      <x:c r="I24" s="59" t="str">
        <x:v>M04-API-01</x:v>
      </x:c>
      <x:c r="J24" s="59" t="str">
        <x:v>animal</x:v>
      </x:c>
      <x:c r="K24" s="59" t="str">
        <x:v>仅 AVAILABLE</x:v>
      </x:c>
      <x:c r="L24" s="59" t="str">
        <x:v>已覆盖</x:v>
      </x:c>
      <x:c r="M24" s="59" t="str">
        <x:v>Frozen</x:v>
      </x:c>
      <x:c r="N24" s="59" t="str">
        <x:v>待设计</x:v>
      </x:c>
      <x:c r="O24" s="59" t="str">
        <x:v>待设计</x:v>
      </x:c>
      <x:c r="P24" s="59" t="str">
        <x:v>公开列表只展示 AVAILABLE 动物；仅 AVAILABLE</x:v>
      </x:c>
      <x:c r="Q24" s="59" t="str">
        <x:v>未执行</x:v>
      </x:c>
      <x:c r="R24" s="59" t="str">
        <x:v>—</x:v>
      </x:c>
      <x:c r="S24" s="60" t="str"/>
    </x:row>
    <x:row r="25" ht="44" customHeight="1">
      <x:c r="A25" s="58" t="str">
        <x:v>RTM-M04-02</x:v>
      </x:c>
      <x:c r="B25" s="59" t="str">
        <x:v>FR-ANIMAL-02；FR-ANIMAL-03；FR-AUTH-03；NFR-SEC-03；NFR-SEC-04；NFR-PER-01</x:v>
      </x:c>
      <x:c r="C25" s="59" t="str">
        <x:v>M04 动物档案</x:v>
      </x:c>
      <x:c r="D25" s="59" t="str">
        <x:v>动物详情</x:v>
      </x:c>
      <x:c r="E25" s="59" t="str">
        <x:v>按角色查看动物详情</x:v>
      </x:c>
      <x:c r="F25" s="59" t="str">
        <x:v>VISITOR/USER/RESCUER/ADMIN</x:v>
      </x:c>
      <x:c r="G25" s="59" t="str">
        <x:v>PC/移动端</x:v>
      </x:c>
      <x:c r="H25" s="59" t="str">
        <x:v>—</x:v>
      </x:c>
      <x:c r="I25" s="59" t="str">
        <x:v>M04-API-02; COMMON-MEDIA-02</x:v>
      </x:c>
      <x:c r="J25" s="59" t="str">
        <x:v>animal,rescue_task,animal_image</x:v>
      </x:c>
      <x:c r="K25" s="59" t="str">
        <x:v>普通用户仅AVAILABLE；负责人/ADMIN扩展可见</x:v>
      </x:c>
      <x:c r="L25" s="59" t="str">
        <x:v>已覆盖</x:v>
      </x:c>
      <x:c r="M25" s="59" t="str">
        <x:v>Frozen</x:v>
      </x:c>
      <x:c r="N25" s="59" t="str">
        <x:v>待设计</x:v>
      </x:c>
      <x:c r="O25" s="59" t="str">
        <x:v>待设计</x:v>
      </x:c>
      <x:c r="P25" s="59" t="str">
        <x:v>按角色查看动物详情；普通用户仅AVAILABLE；负责人/ADMIN扩展可见</x:v>
      </x:c>
      <x:c r="Q25" s="59" t="str">
        <x:v>未执行</x:v>
      </x:c>
      <x:c r="R25" s="59" t="str">
        <x:v>—</x:v>
      </x:c>
      <x:c r="S25" s="60" t="str"/>
    </x:row>
    <x:row r="26" ht="44" customHeight="1">
      <x:c r="A26" s="58" t="str">
        <x:v>RTM-M04-03</x:v>
      </x:c>
      <x:c r="B26" s="59" t="str">
        <x:v>BR-13；BR-22；NFR-SEC-03</x:v>
      </x:c>
      <x:c r="C26" s="59" t="str">
        <x:v>M04 动物档案</x:v>
      </x:c>
      <x:c r="D26" s="59" t="str">
        <x:v>负责动物</x:v>
      </x:c>
      <x:c r="E26" s="59" t="str">
        <x:v>RESCUER 查看本人负责动物</x:v>
      </x:c>
      <x:c r="F26" s="59" t="str">
        <x:v>RESCUER</x:v>
      </x:c>
      <x:c r="G26" s="59" t="str">
        <x:v>移动端/PC</x:v>
      </x:c>
      <x:c r="H26" s="59" t="str">
        <x:v>—</x:v>
      </x:c>
      <x:c r="I26" s="59" t="str">
        <x:v>M04-API-03</x:v>
      </x:c>
      <x:c r="J26" s="59" t="str">
        <x:v>animal,rescue_task</x:v>
      </x:c>
      <x:c r="K26" s="59" t="str">
        <x:v>通过来源 RescueTask.rescuer_id 推导</x:v>
      </x:c>
      <x:c r="L26" s="59" t="str">
        <x:v>已覆盖</x:v>
      </x:c>
      <x:c r="M26" s="59" t="str">
        <x:v>Frozen</x:v>
      </x:c>
      <x:c r="N26" s="59" t="str">
        <x:v>待设计</x:v>
      </x:c>
      <x:c r="O26" s="59" t="str">
        <x:v>待设计</x:v>
      </x:c>
      <x:c r="P26" s="59" t="str">
        <x:v>RESCUER 查看本人负责动物；通过来源 RescueTask.rescuer_id 推导</x:v>
      </x:c>
      <x:c r="Q26" s="59" t="str">
        <x:v>未执行</x:v>
      </x:c>
      <x:c r="R26" s="59" t="str">
        <x:v>—</x:v>
      </x:c>
      <x:c r="S26" s="60" t="str"/>
    </x:row>
    <x:row r="27" ht="44" customHeight="1">
      <x:c r="A27" s="58" t="str">
        <x:v>RTM-M04-04</x:v>
      </x:c>
      <x:c r="B27" s="59" t="str">
        <x:v>FR-ANIMAL-02；BR-13；NFR-PER-02</x:v>
      </x:c>
      <x:c r="C27" s="59" t="str">
        <x:v>M04 动物档案</x:v>
      </x:c>
      <x:c r="D27" s="59" t="str">
        <x:v>基本资料</x:v>
      </x:c>
      <x:c r="E27" s="59" t="str">
        <x:v>负责人/ADMIN 编辑动物基本资料</x:v>
      </x:c>
      <x:c r="F27" s="59" t="str">
        <x:v>RESCUER/ADMIN</x:v>
      </x:c>
      <x:c r="G27" s="59" t="str">
        <x:v>PC/移动端</x:v>
      </x:c>
      <x:c r="H27" s="59" t="str">
        <x:v>—</x:v>
      </x:c>
      <x:c r="I27" s="59" t="str">
        <x:v>M04-API-04</x:v>
      </x:c>
      <x:c r="J27" s="59" t="str">
        <x:v>animal</x:v>
      </x:c>
      <x:c r="K27" s="59" t="str">
        <x:v>version 乐观锁</x:v>
      </x:c>
      <x:c r="L27" s="59" t="str">
        <x:v>已覆盖</x:v>
      </x:c>
      <x:c r="M27" s="59" t="str">
        <x:v>Frozen</x:v>
      </x:c>
      <x:c r="N27" s="59" t="str">
        <x:v>待设计</x:v>
      </x:c>
      <x:c r="O27" s="59" t="str">
        <x:v>待设计</x:v>
      </x:c>
      <x:c r="P27" s="59" t="str">
        <x:v>负责人/ADMIN 编辑动物基本资料；version 乐观锁</x:v>
      </x:c>
      <x:c r="Q27" s="59" t="str">
        <x:v>未执行</x:v>
      </x:c>
      <x:c r="R27" s="59" t="str">
        <x:v>—</x:v>
      </x:c>
      <x:c r="S27" s="60" t="str"/>
    </x:row>
    <x:row r="28" ht="44" customHeight="1">
      <x:c r="A28" s="58" t="str">
        <x:v>RTM-M04-05</x:v>
      </x:c>
      <x:c r="B28" s="59" t="str">
        <x:v>FR-ANIMAL-03；FR-FILE-01；FR-FILE-02；FR-FILE-03；FR-FILE-04；FR-FILE-05；FR-FILE-06；FR-FILE-07；BR-13；NFR-API-02；NFR-DATA-02</x:v>
      </x:c>
      <x:c r="C28" s="59" t="str">
        <x:v>M04 动物档案</x:v>
      </x:c>
      <x:c r="D28" s="59" t="str">
        <x:v>动物图片</x:v>
      </x:c>
      <x:c r="E28" s="59" t="str">
        <x:v>负责人/ADMIN 管理动物图片</x:v>
      </x:c>
      <x:c r="F28" s="59" t="str">
        <x:v>RESCUER/ADMIN</x:v>
      </x:c>
      <x:c r="G28" s="59" t="str">
        <x:v>PC/移动端</x:v>
      </x:c>
      <x:c r="H28" s="59" t="str">
        <x:v>—</x:v>
      </x:c>
      <x:c r="I28" s="59" t="str">
        <x:v>M04-API-05; M04-API-06</x:v>
      </x:c>
      <x:c r="J28" s="59" t="str">
        <x:v>animal_image,temporary_file,animal</x:v>
      </x:c>
      <x:c r="K28" s="59" t="str">
        <x:v>单次新增≤9；生命周期累计无总上限</x:v>
      </x:c>
      <x:c r="L28" s="59" t="str">
        <x:v>已覆盖</x:v>
      </x:c>
      <x:c r="M28" s="59" t="str">
        <x:v>Frozen</x:v>
      </x:c>
      <x:c r="N28" s="59" t="str">
        <x:v>待设计</x:v>
      </x:c>
      <x:c r="O28" s="59" t="str">
        <x:v>待设计</x:v>
      </x:c>
      <x:c r="P28" s="59" t="str">
        <x:v>负责人/ADMIN 管理动物图片；单次新增≤9；生命周期累计无总上限</x:v>
      </x:c>
      <x:c r="Q28" s="59" t="str">
        <x:v>未执行</x:v>
      </x:c>
      <x:c r="R28" s="59" t="str">
        <x:v>—</x:v>
      </x:c>
      <x:c r="S28" s="60" t="str"/>
    </x:row>
    <x:row r="29" ht="44" customHeight="1">
      <x:c r="A29" s="58" t="str">
        <x:v>RTM-M04-06</x:v>
      </x:c>
      <x:c r="B29" s="59" t="str">
        <x:v>FR-ANIMAL-05；FR-AUTH-03；NFR-SEC-05；NFR-PER-01</x:v>
      </x:c>
      <x:c r="C29" s="59" t="str">
        <x:v>M04 动物档案</x:v>
      </x:c>
      <x:c r="D29" s="59" t="str">
        <x:v>健康记录</x:v>
      </x:c>
      <x:c r="E29" s="59" t="str">
        <x:v>查看健康记录</x:v>
      </x:c>
      <x:c r="F29" s="59" t="str">
        <x:v>VISITOR/USER/RESCUER/ADMIN</x:v>
      </x:c>
      <x:c r="G29" s="59" t="str">
        <x:v>PC/移动端</x:v>
      </x:c>
      <x:c r="H29" s="59" t="str">
        <x:v>—</x:v>
      </x:c>
      <x:c r="I29" s="59" t="str">
        <x:v>M04-API-07</x:v>
      </x:c>
      <x:c r="J29" s="59" t="str">
        <x:v>health_record,animal,rescue_task</x:v>
      </x:c>
      <x:c r="K29" s="59" t="str">
        <x:v>公开投影不含 recorderId；负责人/ADMIN返回完整投影</x:v>
      </x:c>
      <x:c r="L29" s="59" t="str">
        <x:v>已覆盖</x:v>
      </x:c>
      <x:c r="M29" s="59" t="str">
        <x:v>Frozen</x:v>
      </x:c>
      <x:c r="N29" s="59" t="str">
        <x:v>待设计</x:v>
      </x:c>
      <x:c r="O29" s="59" t="str">
        <x:v>待设计</x:v>
      </x:c>
      <x:c r="P29" s="59" t="str">
        <x:v>查看健康记录；公开投影不含 recorderId；负责人/ADMIN返回完整投影</x:v>
      </x:c>
      <x:c r="Q29" s="59" t="str">
        <x:v>未执行</x:v>
      </x:c>
      <x:c r="R29" s="59" t="str">
        <x:v>—</x:v>
      </x:c>
      <x:c r="S29" s="60" t="str"/>
    </x:row>
    <x:row r="30" ht="44" customHeight="1">
      <x:c r="A30" s="58" t="str">
        <x:v>RTM-M04-07</x:v>
      </x:c>
      <x:c r="B30" s="59" t="str">
        <x:v>FR-ANIMAL-04；FR-ANIMAL-05；BR-13；BR-14；NFR-DATA-01；NFR-PER-02</x:v>
      </x:c>
      <x:c r="C30" s="59" t="str">
        <x:v>M04 动物档案</x:v>
      </x:c>
      <x:c r="D30" s="59" t="str">
        <x:v>健康记录</x:v>
      </x:c>
      <x:c r="E30" s="59" t="str">
        <x:v>负责人/ADMIN 追加健康记录</x:v>
      </x:c>
      <x:c r="F30" s="59" t="str">
        <x:v>RESCUER/ADMIN</x:v>
      </x:c>
      <x:c r="G30" s="59" t="str">
        <x:v>PC/移动端</x:v>
      </x:c>
      <x:c r="H30" s="59" t="str">
        <x:v>—</x:v>
      </x:c>
      <x:c r="I30" s="59" t="str">
        <x:v>M04-API-08</x:v>
      </x:c>
      <x:c r="J30" s="59" t="str">
        <x:v>health_record,animal,rescue_task</x:v>
      </x:c>
      <x:c r="K30" s="59" t="str">
        <x:v>append-only；保存记录人/时间；不自动修改health_condition</x:v>
      </x:c>
      <x:c r="L30" s="59" t="str">
        <x:v>已覆盖</x:v>
      </x:c>
      <x:c r="M30" s="59" t="str">
        <x:v>Frozen</x:v>
      </x:c>
      <x:c r="N30" s="59" t="str">
        <x:v>待设计</x:v>
      </x:c>
      <x:c r="O30" s="59" t="str">
        <x:v>待设计</x:v>
      </x:c>
      <x:c r="P30" s="59" t="str">
        <x:v>负责人/ADMIN 追加健康记录；append-only；保存记录人/时间；不自动修改health_condition</x:v>
      </x:c>
      <x:c r="Q30" s="59" t="str">
        <x:v>未执行</x:v>
      </x:c>
      <x:c r="R30" s="59" t="str">
        <x:v>—</x:v>
      </x:c>
      <x:c r="S30" s="60" t="str"/>
    </x:row>
    <x:row r="31" ht="44" customHeight="1">
      <x:c r="A31" s="58" t="str">
        <x:v>RTM-M04-08</x:v>
      </x:c>
      <x:c r="B31" s="59" t="str">
        <x:v>FR-ANIMAL-06；FR-ANIMAL-07；FR-ANIMAL-08；BR-14；BR-20；NFR-DATA-01</x:v>
      </x:c>
      <x:c r="C31" s="59" t="str">
        <x:v>M04 动物档案</x:v>
      </x:c>
      <x:c r="D31" s="59" t="str">
        <x:v>状态操作</x:v>
      </x:c>
      <x:c r="E31" s="59" t="str">
        <x:v>执行合法动物状态操作</x:v>
      </x:c>
      <x:c r="F31" s="59" t="str">
        <x:v>RESCUER/ADMIN</x:v>
      </x:c>
      <x:c r="G31" s="59" t="str">
        <x:v>PC/移动端</x:v>
      </x:c>
      <x:c r="H31" s="59" t="str">
        <x:v>—</x:v>
      </x:c>
      <x:c r="I31" s="59" t="str">
        <x:v>M04-API-09</x:v>
      </x:c>
      <x:c r="J31" s="59" t="str">
        <x:v>animal,operation_log</x:v>
      </x:c>
      <x:c r="K31" s="59" t="str">
        <x:v>TREATING→OBSERVING→AVAILABLE↔SUSPENDED；暂停原因必填；ADOPTED禁止手工</x:v>
      </x:c>
      <x:c r="L31" s="59" t="str">
        <x:v>已覆盖</x:v>
      </x:c>
      <x:c r="M31" s="59" t="str">
        <x:v>Frozen</x:v>
      </x:c>
      <x:c r="N31" s="59" t="str">
        <x:v>待设计</x:v>
      </x:c>
      <x:c r="O31" s="59" t="str">
        <x:v>待设计</x:v>
      </x:c>
      <x:c r="P31" s="59" t="str">
        <x:v>执行合法动物状态操作；TREATING→OBSERVING→AVAILABLE↔SUSPENDED；暂停原因必填；ADOPTED禁止手工</x:v>
      </x:c>
      <x:c r="Q31" s="59" t="str">
        <x:v>未执行</x:v>
      </x:c>
      <x:c r="R31" s="59" t="str">
        <x:v>—</x:v>
      </x:c>
      <x:c r="S31" s="60" t="str"/>
    </x:row>
    <x:row r="32" ht="44" customHeight="1">
      <x:c r="A32" s="58" t="str">
        <x:v>RTM-M05-01</x:v>
      </x:c>
      <x:c r="B32" s="59" t="str">
        <x:v>FR-ADOPT-01；FR-ADOPT-02；FR-ADOPT-03；BR-05；BR-06；BR-21；BR-28；NFR-DATA-02；NFR-PER-02</x:v>
      </x:c>
      <x:c r="C32" s="59" t="str">
        <x:v>M05 领养管理</x:v>
      </x:c>
      <x:c r="D32" s="59" t="str">
        <x:v>提交申请</x:v>
      </x:c>
      <x:c r="E32" s="59" t="str">
        <x:v>USER/RESCUER 对 AVAILABLE Animal 提交领养申请</x:v>
      </x:c>
      <x:c r="F32" s="59" t="str">
        <x:v>USER/RESCUER</x:v>
      </x:c>
      <x:c r="G32" s="59" t="str">
        <x:v>移动端</x:v>
      </x:c>
      <x:c r="H32" s="59" t="str">
        <x:v>UC-05</x:v>
      </x:c>
      <x:c r="I32" s="59" t="str">
        <x:v>M05-API-01</x:v>
      </x:c>
      <x:c r="J32" s="59" t="str">
        <x:v>adoption_application,animal,operation_log</x:v>
      </x:c>
      <x:c r="K32" s="59" t="str">
        <x:v>同用户同动物终身最多一次；重复40907</x:v>
      </x:c>
      <x:c r="L32" s="59" t="str">
        <x:v>已覆盖</x:v>
      </x:c>
      <x:c r="M32" s="59" t="str">
        <x:v>Frozen</x:v>
      </x:c>
      <x:c r="N32" s="59" t="str">
        <x:v>待设计</x:v>
      </x:c>
      <x:c r="O32" s="59" t="str">
        <x:v>待设计</x:v>
      </x:c>
      <x:c r="P32" s="59" t="str">
        <x:v>USER/RESCUER 对 AVAILABLE Animal 提交领养申请；同用户同动物终身最多一次；重复40907</x:v>
      </x:c>
      <x:c r="Q32" s="59" t="str">
        <x:v>未执行</x:v>
      </x:c>
      <x:c r="R32" s="59" t="str">
        <x:v>—</x:v>
      </x:c>
      <x:c r="S32" s="60" t="str"/>
    </x:row>
    <x:row r="33" ht="44" customHeight="1">
      <x:c r="A33" s="58" t="str">
        <x:v>RTM-M05-02</x:v>
      </x:c>
      <x:c r="B33" s="59" t="str">
        <x:v>FR-ADOPT-04；FR-AUTH-03；NFR-SEC-03；NFR-SEC-04；NFR-SEC-05；NFR-PER-01</x:v>
      </x:c>
      <x:c r="C33" s="59" t="str">
        <x:v>M05 领养管理</x:v>
      </x:c>
      <x:c r="D33" s="59" t="str">
        <x:v>我的申请</x:v>
      </x:c>
      <x:c r="E33" s="59" t="str">
        <x:v>查看本人申请列表/详情及完整状态</x:v>
      </x:c>
      <x:c r="F33" s="59" t="str">
        <x:v>USER/RESCUER/ADMIN</x:v>
      </x:c>
      <x:c r="G33" s="59" t="str">
        <x:v>移动端/PC</x:v>
      </x:c>
      <x:c r="H33" s="59" t="str">
        <x:v>UC-05</x:v>
      </x:c>
      <x:c r="I33" s="59" t="str">
        <x:v>M05-API-02; M05-API-03</x:v>
      </x:c>
      <x:c r="J33" s="59" t="str">
        <x:v>adoption_application</x:v>
      </x:c>
      <x:c r="K33" s="59" t="str">
        <x:v>申请人本人/ADMIN；状态完整展示</x:v>
      </x:c>
      <x:c r="L33" s="59" t="str">
        <x:v>已覆盖</x:v>
      </x:c>
      <x:c r="M33" s="59" t="str">
        <x:v>Frozen</x:v>
      </x:c>
      <x:c r="N33" s="59" t="str">
        <x:v>待设计</x:v>
      </x:c>
      <x:c r="O33" s="59" t="str">
        <x:v>待设计</x:v>
      </x:c>
      <x:c r="P33" s="59" t="str">
        <x:v>查看本人申请列表/详情及完整状态；申请人本人/ADMIN；状态完整展示</x:v>
      </x:c>
      <x:c r="Q33" s="59" t="str">
        <x:v>未执行</x:v>
      </x:c>
      <x:c r="R33" s="59" t="str">
        <x:v>—</x:v>
      </x:c>
      <x:c r="S33" s="60" t="str"/>
    </x:row>
    <x:row r="34" ht="44" customHeight="1">
      <x:c r="A34" s="58" t="str">
        <x:v>RTM-M05-03</x:v>
      </x:c>
      <x:c r="B34" s="59" t="str">
        <x:v>FR-ADOPT-05；BR-12；BR-14；NFR-DATA-01</x:v>
      </x:c>
      <x:c r="C34" s="59" t="str">
        <x:v>M05 领养管理</x:v>
      </x:c>
      <x:c r="D34" s="59" t="str">
        <x:v>撤回申请</x:v>
      </x:c>
      <x:c r="E34" s="59" t="str">
        <x:v>申请人撤回 PENDING 申请</x:v>
      </x:c>
      <x:c r="F34" s="59" t="str">
        <x:v>USER/RESCUER</x:v>
      </x:c>
      <x:c r="G34" s="59" t="str">
        <x:v>移动端</x:v>
      </x:c>
      <x:c r="H34" s="59" t="str">
        <x:v>UC-05</x:v>
      </x:c>
      <x:c r="I34" s="59" t="str">
        <x:v>M05-API-04</x:v>
      </x:c>
      <x:c r="J34" s="59" t="str">
        <x:v>adoption_application,operation_log</x:v>
      </x:c>
      <x:c r="K34" s="59" t="str">
        <x:v>PENDING→WITHDRAWN</x:v>
      </x:c>
      <x:c r="L34" s="59" t="str">
        <x:v>已覆盖</x:v>
      </x:c>
      <x:c r="M34" s="59" t="str">
        <x:v>Frozen</x:v>
      </x:c>
      <x:c r="N34" s="59" t="str">
        <x:v>待设计</x:v>
      </x:c>
      <x:c r="O34" s="59" t="str">
        <x:v>待设计</x:v>
      </x:c>
      <x:c r="P34" s="59" t="str">
        <x:v>申请人撤回 PENDING 申请；PENDING→WITHDRAWN</x:v>
      </x:c>
      <x:c r="Q34" s="59" t="str">
        <x:v>未执行</x:v>
      </x:c>
      <x:c r="R34" s="59" t="str">
        <x:v>—</x:v>
      </x:c>
      <x:c r="S34" s="60" t="str"/>
    </x:row>
    <x:row r="35" ht="44" customHeight="1">
      <x:c r="A35" s="58" t="str">
        <x:v>RTM-M05-04</x:v>
      </x:c>
      <x:c r="B35" s="59" t="str">
        <x:v>FR-ADOPT-06；FR-ADOPT-07；FR-ADOPT-08；FR-ADOPT-13；BR-07；BR-08；BR-14；BR-21；BR-28；NFR-DATA-01；NFR-SEC-03；NFR-SEC-04；NFR-COMP-01</x:v>
      </x:c>
      <x:c r="C35" s="59" t="str">
        <x:v>M05 领养管理</x:v>
      </x:c>
      <x:c r="D35" s="59" t="str">
        <x:v>审核申请</x:v>
      </x:c>
      <x:c r="E35" s="59" t="str">
        <x:v>ADMIN 查看并审核领养申请</x:v>
      </x:c>
      <x:c r="F35" s="59" t="str">
        <x:v>ADMIN</x:v>
      </x:c>
      <x:c r="G35" s="59" t="str">
        <x:v>PC</x:v>
      </x:c>
      <x:c r="H35" s="59" t="str">
        <x:v>UC-06</x:v>
      </x:c>
      <x:c r="I35" s="59" t="str">
        <x:v>M05-API-05; M05-API-06</x:v>
      </x:c>
      <x:c r="J35" s="59" t="str">
        <x:v>adoption_application,animal,adoption_record,operation_log</x:v>
      </x:c>
      <x:c r="K35" s="59" t="str">
        <x:v>REJECT原因必填；禁止审核自己历史申请</x:v>
      </x:c>
      <x:c r="L35" s="59" t="str">
        <x:v>已覆盖</x:v>
      </x:c>
      <x:c r="M35" s="59" t="str">
        <x:v>Frozen</x:v>
      </x:c>
      <x:c r="N35" s="59" t="str">
        <x:v>待设计</x:v>
      </x:c>
      <x:c r="O35" s="59" t="str">
        <x:v>待设计</x:v>
      </x:c>
      <x:c r="P35" s="59" t="str">
        <x:v>ADMIN 查看并审核领养申请；REJECT原因必填；禁止审核自己历史申请</x:v>
      </x:c>
      <x:c r="Q35" s="59" t="str">
        <x:v>未执行</x:v>
      </x:c>
      <x:c r="R35" s="59" t="str">
        <x:v>—</x:v>
      </x:c>
      <x:c r="S35" s="60" t="str"/>
    </x:row>
    <x:row r="36" ht="44" customHeight="1">
      <x:c r="A36" s="58" t="str">
        <x:v>RTM-M05-05</x:v>
      </x:c>
      <x:c r="B36" s="59" t="str">
        <x:v>FR-ADOPT-09；FR-ADOPT-10；FR-ADOPT-11；FR-ADOPT-12；BR-09；BR-10；BR-11；BR-20；NFR-DATA-02；NFR-DATA-01</x:v>
      </x:c>
      <x:c r="C36" s="59" t="str">
        <x:v>M05 领养管理</x:v>
      </x:c>
      <x:c r="D36" s="59" t="str">
        <x:v>批准事务</x:v>
      </x:c>
      <x:c r="E36" s="59" t="str">
        <x:v>批准后创建领养记录并失效其他待审申请</x:v>
      </x:c>
      <x:c r="F36" s="59" t="str">
        <x:v>ADMIN</x:v>
      </x:c>
      <x:c r="G36" s="59" t="str">
        <x:v>PC</x:v>
      </x:c>
      <x:c r="H36" s="59" t="str">
        <x:v>UC-06</x:v>
      </x:c>
      <x:c r="I36" s="59" t="str">
        <x:v>M05-API-06</x:v>
      </x:c>
      <x:c r="J36" s="59" t="str">
        <x:v>adoption_record,adoption_application,animal,operation_log</x:v>
      </x:c>
      <x:c r="K36" s="59" t="str">
        <x:v>目标APPROVED + AdoptionRecord + Animal ADOPTED + 其他PENDING INVALIDATED</x:v>
      </x:c>
      <x:c r="L36" s="59" t="str">
        <x:v>已覆盖</x:v>
      </x:c>
      <x:c r="M36" s="59" t="str">
        <x:v>Frozen</x:v>
      </x:c>
      <x:c r="N36" s="59" t="str">
        <x:v>待设计</x:v>
      </x:c>
      <x:c r="O36" s="59" t="str">
        <x:v>待设计</x:v>
      </x:c>
      <x:c r="P36" s="59" t="str">
        <x:v>批准后创建领养记录并失效其他待审申请；目标APPROVED + AdoptionRecord + Animal ADOPTED + 其他PENDING INVALIDATED</x:v>
      </x:c>
      <x:c r="Q36" s="59" t="str">
        <x:v>未执行</x:v>
      </x:c>
      <x:c r="R36" s="59" t="str">
        <x:v>—</x:v>
      </x:c>
      <x:c r="S36" s="60" t="str"/>
    </x:row>
    <x:row r="37" ht="44" customHeight="1">
      <x:c r="A37" s="58" t="str">
        <x:v>RTM-M05-06</x:v>
      </x:c>
      <x:c r="B37" s="59" t="str">
        <x:v>FR-ADOPT-14；NFR-PER-01</x:v>
      </x:c>
      <x:c r="C37" s="59" t="str">
        <x:v>M05 领养管理</x:v>
      </x:c>
      <x:c r="D37" s="59" t="str">
        <x:v>领养记录</x:v>
      </x:c>
      <x:c r="E37" s="59" t="str">
        <x:v>领养人查看本人领养记录</x:v>
      </x:c>
      <x:c r="F37" s="59" t="str">
        <x:v>USER/RESCUER/ADMIN</x:v>
      </x:c>
      <x:c r="G37" s="59" t="str">
        <x:v>移动端/PC</x:v>
      </x:c>
      <x:c r="H37" s="59" t="str">
        <x:v>—</x:v>
      </x:c>
      <x:c r="I37" s="59" t="str">
        <x:v>M05-API-07; M05-API-08</x:v>
      </x:c>
      <x:c r="J37" s="59" t="str">
        <x:v>adoption_record</x:v>
      </x:c>
      <x:c r="K37" s="59" t="str">
        <x:v>事实记录不可修改；本人/ADMIN可见</x:v>
      </x:c>
      <x:c r="L37" s="59" t="str">
        <x:v>已覆盖</x:v>
      </x:c>
      <x:c r="M37" s="59" t="str">
        <x:v>Frozen</x:v>
      </x:c>
      <x:c r="N37" s="59" t="str">
        <x:v>待设计</x:v>
      </x:c>
      <x:c r="O37" s="59" t="str">
        <x:v>待设计</x:v>
      </x:c>
      <x:c r="P37" s="59" t="str">
        <x:v>领养人查看本人领养记录；事实记录不可修改；本人/ADMIN可见</x:v>
      </x:c>
      <x:c r="Q37" s="59" t="str">
        <x:v>未执行</x:v>
      </x:c>
      <x:c r="R37" s="59" t="str">
        <x:v>—</x:v>
      </x:c>
      <x:c r="S37" s="60" t="str"/>
    </x:row>
    <x:row r="38" ht="44" customHeight="1">
      <x:c r="A38" s="58" t="str">
        <x:v>RTM-M05-07</x:v>
      </x:c>
      <x:c r="B38" s="59" t="str">
        <x:v>BR-22；NFR-SEC-05；NFR-SEC-03</x:v>
      </x:c>
      <x:c r="C38" s="59" t="str">
        <x:v>M05 领养管理</x:v>
      </x:c>
      <x:c r="D38" s="59" t="str">
        <x:v>负责动物概览</x:v>
      </x:c>
      <x:c r="E38" s="59" t="str">
        <x:v>负责人查看动物领养概览但不泄露申请隐私</x:v>
      </x:c>
      <x:c r="F38" s="59" t="str">
        <x:v>RESCUER</x:v>
      </x:c>
      <x:c r="G38" s="59" t="str">
        <x:v>移动端/PC</x:v>
      </x:c>
      <x:c r="H38" s="59" t="str">
        <x:v>—</x:v>
      </x:c>
      <x:c r="I38" s="59" t="str">
        <x:v>M05-API-09</x:v>
      </x:c>
      <x:c r="J38" s="59" t="str">
        <x:v>adoption_application,adoption_record,rescue_task</x:v>
      </x:c>
      <x:c r="K38" s="59" t="str">
        <x:v>仅计数/批准ID/记录ID/时间</x:v>
      </x:c>
      <x:c r="L38" s="59" t="str">
        <x:v>已覆盖</x:v>
      </x:c>
      <x:c r="M38" s="59" t="str">
        <x:v>Frozen</x:v>
      </x:c>
      <x:c r="N38" s="59" t="str">
        <x:v>待设计</x:v>
      </x:c>
      <x:c r="O38" s="59" t="str">
        <x:v>待设计</x:v>
      </x:c>
      <x:c r="P38" s="59" t="str">
        <x:v>负责人查看动物领养概览但不泄露申请隐私；仅计数/批准ID/记录ID/时间</x:v>
      </x:c>
      <x:c r="Q38" s="59" t="str">
        <x:v>未执行</x:v>
      </x:c>
      <x:c r="R38" s="59" t="str">
        <x:v>—</x:v>
      </x:c>
      <x:c r="S38" s="60" t="str"/>
    </x:row>
    <x:row r="39" ht="44" customHeight="1">
      <x:c r="A39" s="58" t="str">
        <x:v>RTM-M06-01</x:v>
      </x:c>
      <x:c r="B39" s="59" t="str">
        <x:v>FR-FOLLOW-01；FR-FOLLOW-02；FR-FOLLOW-03；FR-FOLLOW-06；FR-FILE-01；FR-FILE-02；FR-FILE-03；FR-FILE-04；FR-FILE-05；FR-FILE-06；FR-FILE-07；NFR-DATA-01；NFR-DATA-02；NFR-API-02；NFR-PER-02</x:v>
      </x:c>
      <x:c r="C39" s="59" t="str">
        <x:v>M06 回访管理</x:v>
      </x:c>
      <x:c r="D39" s="59" t="str">
        <x:v>提交回访</x:v>
      </x:c>
      <x:c r="E39" s="59" t="str">
        <x:v>最终领养人提交回访</x:v>
      </x:c>
      <x:c r="F39" s="59" t="str">
        <x:v>USER/RESCUER</x:v>
      </x:c>
      <x:c r="G39" s="59" t="str">
        <x:v>移动端</x:v>
      </x:c>
      <x:c r="H39" s="59" t="str">
        <x:v>UC-07</x:v>
      </x:c>
      <x:c r="I39" s="59" t="str">
        <x:v>M06-API-01</x:v>
      </x:c>
      <x:c r="J39" s="59" t="str">
        <x:v>follow_up_record,follow_up_image,adoption_record,temporary_file</x:v>
      </x:c>
      <x:c r="K39" s="59" t="str">
        <x:v>content/health/images至少一项；永久幂等键</x:v>
      </x:c>
      <x:c r="L39" s="59" t="str">
        <x:v>已覆盖</x:v>
      </x:c>
      <x:c r="M39" s="59" t="str">
        <x:v>Frozen</x:v>
      </x:c>
      <x:c r="N39" s="59" t="str">
        <x:v>待设计</x:v>
      </x:c>
      <x:c r="O39" s="59" t="str">
        <x:v>待设计</x:v>
      </x:c>
      <x:c r="P39" s="59" t="str">
        <x:v>最终领养人提交回访；content/health/images至少一项；永久幂等键</x:v>
      </x:c>
      <x:c r="Q39" s="59" t="str">
        <x:v>未执行</x:v>
      </x:c>
      <x:c r="R39" s="59" t="str">
        <x:v>—</x:v>
      </x:c>
      <x:c r="S39" s="60" t="str"/>
    </x:row>
    <x:row r="40" ht="44" customHeight="1">
      <x:c r="A40" s="58" t="str">
        <x:v>RTM-M06-02</x:v>
      </x:c>
      <x:c r="B40" s="59" t="str">
        <x:v>FR-FOLLOW-03；FR-FOLLOW-06；NFR-SEC-03；NFR-SEC-04；NFR-SEC-05；NFR-PER-01</x:v>
      </x:c>
      <x:c r="C40" s="59" t="str">
        <x:v>M06 回访管理</x:v>
      </x:c>
      <x:c r="D40" s="59" t="str">
        <x:v>回访查询</x:v>
      </x:c>
      <x:c r="E40" s="59" t="str">
        <x:v>领养人查看历史回访和详情</x:v>
      </x:c>
      <x:c r="F40" s="59" t="str">
        <x:v>USER/RESCUER/ADMIN</x:v>
      </x:c>
      <x:c r="G40" s="59" t="str">
        <x:v>移动端/PC</x:v>
      </x:c>
      <x:c r="H40" s="59" t="str">
        <x:v>UC-07</x:v>
      </x:c>
      <x:c r="I40" s="59" t="str">
        <x:v>M06-API-02; M06-API-03; COMMON-MEDIA-03</x:v>
      </x:c>
      <x:c r="J40" s="59" t="str">
        <x:v>follow_up_record,follow_up_image,adoption_record</x:v>
      </x:c>
      <x:c r="K40" s="59" t="str">
        <x:v>只读、append-only；按记录可见性</x:v>
      </x:c>
      <x:c r="L40" s="59" t="str">
        <x:v>已覆盖</x:v>
      </x:c>
      <x:c r="M40" s="59" t="str">
        <x:v>Frozen</x:v>
      </x:c>
      <x:c r="N40" s="59" t="str">
        <x:v>待设计</x:v>
      </x:c>
      <x:c r="O40" s="59" t="str">
        <x:v>待设计</x:v>
      </x:c>
      <x:c r="P40" s="59" t="str">
        <x:v>领养人查看历史回访和详情；只读、append-only；按记录可见性</x:v>
      </x:c>
      <x:c r="Q40" s="59" t="str">
        <x:v>未执行</x:v>
      </x:c>
      <x:c r="R40" s="59" t="str">
        <x:v>—</x:v>
      </x:c>
      <x:c r="S40" s="60" t="str"/>
    </x:row>
    <x:row r="41" ht="44" customHeight="1">
      <x:c r="A41" s="58" t="str">
        <x:v>RTM-M06-03</x:v>
      </x:c>
      <x:c r="B41" s="59" t="str">
        <x:v>FR-FOLLOW-05；BR-22；NFR-SEC-03</x:v>
      </x:c>
      <x:c r="C41" s="59" t="str">
        <x:v>M06 回访管理</x:v>
      </x:c>
      <x:c r="D41" s="59" t="str">
        <x:v>负责动物回访</x:v>
      </x:c>
      <x:c r="E41" s="59" t="str">
        <x:v>RESCUER 查看负责动物回访</x:v>
      </x:c>
      <x:c r="F41" s="59" t="str">
        <x:v>RESCUER</x:v>
      </x:c>
      <x:c r="G41" s="59" t="str">
        <x:v>PC/移动端</x:v>
      </x:c>
      <x:c r="H41" s="59" t="str">
        <x:v>—</x:v>
      </x:c>
      <x:c r="I41" s="59" t="str">
        <x:v>M06-API-05</x:v>
      </x:c>
      <x:c r="J41" s="59" t="str">
        <x:v>follow_up_record,adoption_record,rescue_task</x:v>
      </x:c>
      <x:c r="K41" s="59" t="str">
        <x:v>按负责动物推导，只读</x:v>
      </x:c>
      <x:c r="L41" s="59" t="str">
        <x:v>已覆盖</x:v>
      </x:c>
      <x:c r="M41" s="59" t="str">
        <x:v>Frozen</x:v>
      </x:c>
      <x:c r="N41" s="59" t="str">
        <x:v>待设计</x:v>
      </x:c>
      <x:c r="O41" s="59" t="str">
        <x:v>待设计</x:v>
      </x:c>
      <x:c r="P41" s="59" t="str">
        <x:v>RESCUER 查看负责动物回访；按负责动物推导，只读</x:v>
      </x:c>
      <x:c r="Q41" s="59" t="str">
        <x:v>未执行</x:v>
      </x:c>
      <x:c r="R41" s="59" t="str">
        <x:v>—</x:v>
      </x:c>
      <x:c r="S41" s="60" t="str"/>
    </x:row>
    <x:row r="42" ht="44" customHeight="1">
      <x:c r="A42" s="58" t="str">
        <x:v>RTM-M06-04</x:v>
      </x:c>
      <x:c r="B42" s="59" t="str">
        <x:v>FR-FOLLOW-04；NFR-COMP-01；NFR-PER-01</x:v>
      </x:c>
      <x:c r="C42" s="59" t="str">
        <x:v>M06 回访管理</x:v>
      </x:c>
      <x:c r="D42" s="59" t="str">
        <x:v>回访监管</x:v>
      </x:c>
      <x:c r="E42" s="59" t="str">
        <x:v>ADMIN 查看全部回访</x:v>
      </x:c>
      <x:c r="F42" s="59" t="str">
        <x:v>ADMIN</x:v>
      </x:c>
      <x:c r="G42" s="59" t="str">
        <x:v>PC</x:v>
      </x:c>
      <x:c r="H42" s="59" t="str">
        <x:v>—</x:v>
      </x:c>
      <x:c r="I42" s="59" t="str">
        <x:v>M06-API-04</x:v>
      </x:c>
      <x:c r="J42" s="59" t="str">
        <x:v>follow_up_record</x:v>
      </x:c>
      <x:c r="K42" s="59" t="str">
        <x:v>分页</x:v>
      </x:c>
      <x:c r="L42" s="59" t="str">
        <x:v>已覆盖</x:v>
      </x:c>
      <x:c r="M42" s="59" t="str">
        <x:v>Frozen</x:v>
      </x:c>
      <x:c r="N42" s="59" t="str">
        <x:v>待设计</x:v>
      </x:c>
      <x:c r="O42" s="59" t="str">
        <x:v>待设计</x:v>
      </x:c>
      <x:c r="P42" s="59" t="str">
        <x:v>ADMIN 查看全部回访；分页</x:v>
      </x:c>
      <x:c r="Q42" s="59" t="str">
        <x:v>未执行</x:v>
      </x:c>
      <x:c r="R42" s="59" t="str">
        <x:v>—</x:v>
      </x:c>
      <x:c r="S42" s="60" t="str"/>
    </x:row>
    <x:row r="43" ht="44" customHeight="1">
      <x:c r="A43" s="58" t="str">
        <x:v>RTM-M07-01</x:v>
      </x:c>
      <x:c r="B43" s="59" t="str">
        <x:v>FR-FAVORITE-01；FR-FAVORITE-03；NFR-PER-02</x:v>
      </x:c>
      <x:c r="C43" s="59" t="str">
        <x:v>M07 收藏/公告</x:v>
      </x:c>
      <x:c r="D43" s="59" t="str">
        <x:v>收藏</x:v>
      </x:c>
      <x:c r="E43" s="59" t="str">
        <x:v>收藏 AVAILABLE Animal，重复收藏幂等</x:v>
      </x:c>
      <x:c r="F43" s="59" t="str">
        <x:v>USER/RESCUER</x:v>
      </x:c>
      <x:c r="G43" s="59" t="str">
        <x:v>移动端</x:v>
      </x:c>
      <x:c r="H43" s="59" t="str">
        <x:v>—</x:v>
      </x:c>
      <x:c r="I43" s="59" t="str">
        <x:v>M07-API-01</x:v>
      </x:c>
      <x:c r="J43" s="59" t="str">
        <x:v>favorite,animal</x:v>
      </x:c>
      <x:c r="K43" s="59" t="str">
        <x:v>已有收藏直接返回；新收藏要求AVAILABLE</x:v>
      </x:c>
      <x:c r="L43" s="59" t="str">
        <x:v>已覆盖</x:v>
      </x:c>
      <x:c r="M43" s="59" t="str">
        <x:v>Frozen</x:v>
      </x:c>
      <x:c r="N43" s="59" t="str">
        <x:v>待设计</x:v>
      </x:c>
      <x:c r="O43" s="59" t="str">
        <x:v>待设计</x:v>
      </x:c>
      <x:c r="P43" s="59" t="str">
        <x:v>收藏 AVAILABLE Animal，重复收藏幂等；已有收藏直接返回；新收藏要求AVAILABLE</x:v>
      </x:c>
      <x:c r="Q43" s="59" t="str">
        <x:v>未执行</x:v>
      </x:c>
      <x:c r="R43" s="59" t="str">
        <x:v>—</x:v>
      </x:c>
      <x:c r="S43" s="60" t="str"/>
    </x:row>
    <x:row r="44" ht="44" customHeight="1">
      <x:c r="A44" s="58" t="str">
        <x:v>RTM-M07-02</x:v>
      </x:c>
      <x:c r="B44" s="59" t="str">
        <x:v>FR-FAVORITE-02；FR-FAVORITE-04；NFR-PER-01</x:v>
      </x:c>
      <x:c r="C44" s="59" t="str">
        <x:v>M07 收藏/公告</x:v>
      </x:c>
      <x:c r="D44" s="59" t="str">
        <x:v>收藏</x:v>
      </x:c>
      <x:c r="E44" s="59" t="str">
        <x:v>取消收藏幂等并查看我的收藏</x:v>
      </x:c>
      <x:c r="F44" s="59" t="str">
        <x:v>USER/RESCUER</x:v>
      </x:c>
      <x:c r="G44" s="59" t="str">
        <x:v>移动端</x:v>
      </x:c>
      <x:c r="H44" s="59" t="str">
        <x:v>—</x:v>
      </x:c>
      <x:c r="I44" s="59" t="str">
        <x:v>M07-API-02; M07-API-03</x:v>
      </x:c>
      <x:c r="J44" s="59" t="str">
        <x:v>favorite,animal</x:v>
      </x:c>
      <x:c r="K44" s="59" t="str">
        <x:v>取消重复调用仍成功；历史收藏保留</x:v>
      </x:c>
      <x:c r="L44" s="59" t="str">
        <x:v>已覆盖</x:v>
      </x:c>
      <x:c r="M44" s="59" t="str">
        <x:v>Frozen</x:v>
      </x:c>
      <x:c r="N44" s="59" t="str">
        <x:v>待设计</x:v>
      </x:c>
      <x:c r="O44" s="59" t="str">
        <x:v>待设计</x:v>
      </x:c>
      <x:c r="P44" s="59" t="str">
        <x:v>取消收藏幂等并查看我的收藏；取消重复调用仍成功；历史收藏保留</x:v>
      </x:c>
      <x:c r="Q44" s="59" t="str">
        <x:v>未执行</x:v>
      </x:c>
      <x:c r="R44" s="59" t="str">
        <x:v>—</x:v>
      </x:c>
      <x:c r="S44" s="60" t="str"/>
    </x:row>
    <x:row r="45" ht="44" customHeight="1">
      <x:c r="A45" s="58" t="str">
        <x:v>RTM-M07-03</x:v>
      </x:c>
      <x:c r="B45" s="59" t="str">
        <x:v>FR-NOTICE-01；NFR-PER-01</x:v>
      </x:c>
      <x:c r="C45" s="59" t="str">
        <x:v>M07 收藏/公告</x:v>
      </x:c>
      <x:c r="D45" s="59" t="str">
        <x:v>公开公告</x:v>
      </x:c>
      <x:c r="E45" s="59" t="str">
        <x:v>公开查看已发布公告列表/详情</x:v>
      </x:c>
      <x:c r="F45" s="59" t="str">
        <x:v>VISITOR/USER/RESCUER</x:v>
      </x:c>
      <x:c r="G45" s="59" t="str">
        <x:v>移动端</x:v>
      </x:c>
      <x:c r="H45" s="59" t="str">
        <x:v>—</x:v>
      </x:c>
      <x:c r="I45" s="59" t="str">
        <x:v>M07-API-04; M07-API-05</x:v>
      </x:c>
      <x:c r="J45" s="59" t="str">
        <x:v>announcement</x:v>
      </x:c>
      <x:c r="K45" s="59" t="str">
        <x:v>仅 PUBLISHED</x:v>
      </x:c>
      <x:c r="L45" s="59" t="str">
        <x:v>已覆盖</x:v>
      </x:c>
      <x:c r="M45" s="59" t="str">
        <x:v>Frozen</x:v>
      </x:c>
      <x:c r="N45" s="59" t="str">
        <x:v>待设计</x:v>
      </x:c>
      <x:c r="O45" s="59" t="str">
        <x:v>待设计</x:v>
      </x:c>
      <x:c r="P45" s="59" t="str">
        <x:v>公开查看已发布公告列表/详情；仅 PUBLISHED</x:v>
      </x:c>
      <x:c r="Q45" s="59" t="str">
        <x:v>未执行</x:v>
      </x:c>
      <x:c r="R45" s="59" t="str">
        <x:v>—</x:v>
      </x:c>
      <x:c r="S45" s="60" t="str"/>
    </x:row>
    <x:row r="46" ht="44" customHeight="1">
      <x:c r="A46" s="58" t="str">
        <x:v>RTM-M07-04</x:v>
      </x:c>
      <x:c r="B46" s="59" t="str">
        <x:v>FR-NOTICE-02；FR-NOTICE-03；NFR-SEC-03；NFR-SEC-04；NFR-COMP-01</x:v>
      </x:c>
      <x:c r="C46" s="59" t="str">
        <x:v>M07 收藏/公告</x:v>
      </x:c>
      <x:c r="D46" s="59" t="str">
        <x:v>公告编辑</x:v>
      </x:c>
      <x:c r="E46" s="59" t="str">
        <x:v>ADMIN 创建/编辑公告草稿或已发布内容</x:v>
      </x:c>
      <x:c r="F46" s="59" t="str">
        <x:v>ADMIN</x:v>
      </x:c>
      <x:c r="G46" s="59" t="str">
        <x:v>PC</x:v>
      </x:c>
      <x:c r="H46" s="59" t="str">
        <x:v>—</x:v>
      </x:c>
      <x:c r="I46" s="59" t="str">
        <x:v>M07-API-06; M07-API-07; M07-API-08; M07-API-09</x:v>
      </x:c>
      <x:c r="J46" s="59" t="str">
        <x:v>announcement</x:v>
      </x:c>
      <x:c r="K46" s="59" t="str">
        <x:v>DRAFT/PUBLISHED可编辑；WITHDRAWN不可编辑</x:v>
      </x:c>
      <x:c r="L46" s="59" t="str">
        <x:v>已覆盖</x:v>
      </x:c>
      <x:c r="M46" s="59" t="str">
        <x:v>Frozen</x:v>
      </x:c>
      <x:c r="N46" s="59" t="str">
        <x:v>待设计</x:v>
      </x:c>
      <x:c r="O46" s="59" t="str">
        <x:v>待设计</x:v>
      </x:c>
      <x:c r="P46" s="59" t="str">
        <x:v>ADMIN 创建/编辑公告草稿或已发布内容；DRAFT/PUBLISHED可编辑；WITHDRAWN不可编辑</x:v>
      </x:c>
      <x:c r="Q46" s="59" t="str">
        <x:v>未执行</x:v>
      </x:c>
      <x:c r="R46" s="59" t="str">
        <x:v>—</x:v>
      </x:c>
      <x:c r="S46" s="60" t="str"/>
    </x:row>
    <x:row r="47" ht="44" customHeight="1">
      <x:c r="A47" s="58" t="str">
        <x:v>RTM-M07-05</x:v>
      </x:c>
      <x:c r="B47" s="59" t="str">
        <x:v>FR-NOTICE-04；FR-NOTICE-05；BR-14；NFR-DATA-01</x:v>
      </x:c>
      <x:c r="C47" s="59" t="str">
        <x:v>M07 收藏/公告</x:v>
      </x:c>
      <x:c r="D47" s="59" t="str">
        <x:v>公告状态</x:v>
      </x:c>
      <x:c r="E47" s="59" t="str">
        <x:v>ADMIN 发布/撤回公告</x:v>
      </x:c>
      <x:c r="F47" s="59" t="str">
        <x:v>ADMIN</x:v>
      </x:c>
      <x:c r="G47" s="59" t="str">
        <x:v>PC</x:v>
      </x:c>
      <x:c r="H47" s="59" t="str">
        <x:v>—</x:v>
      </x:c>
      <x:c r="I47" s="59" t="str">
        <x:v>M07-API-10; M07-API-11</x:v>
      </x:c>
      <x:c r="J47" s="59" t="str">
        <x:v>announcement,operation_log</x:v>
      </x:c>
      <x:c r="K47" s="59" t="str">
        <x:v>DRAFT→PUBLISHED→WITHDRAWN；不可重新发布</x:v>
      </x:c>
      <x:c r="L47" s="59" t="str">
        <x:v>已覆盖</x:v>
      </x:c>
      <x:c r="M47" s="59" t="str">
        <x:v>Frozen</x:v>
      </x:c>
      <x:c r="N47" s="59" t="str">
        <x:v>待设计</x:v>
      </x:c>
      <x:c r="O47" s="59" t="str">
        <x:v>待设计</x:v>
      </x:c>
      <x:c r="P47" s="59" t="str">
        <x:v>ADMIN 发布/撤回公告；DRAFT→PUBLISHED→WITHDRAWN；不可重新发布</x:v>
      </x:c>
      <x:c r="Q47" s="59" t="str">
        <x:v>未执行</x:v>
      </x:c>
      <x:c r="R47" s="59" t="str">
        <x:v>—</x:v>
      </x:c>
      <x:c r="S47" s="60" t="str"/>
    </x:row>
    <x:row r="48" ht="44" customHeight="1">
      <x:c r="A48" s="58" t="str">
        <x:v>RTM-M08-01</x:v>
      </x:c>
      <x:c r="B48" s="59" t="str">
        <x:v>FR-USER-02；NFR-SEC-03；NFR-SEC-04；NFR-COMP-01；NFR-PER-01</x:v>
      </x:c>
      <x:c r="C48" s="59" t="str">
        <x:v>M08 后台管理</x:v>
      </x:c>
      <x:c r="D48" s="59" t="str">
        <x:v>用户监管</x:v>
      </x:c>
      <x:c r="E48" s="59" t="str">
        <x:v>用户列表/详情监管</x:v>
      </x:c>
      <x:c r="F48" s="59" t="str">
        <x:v>ADMIN</x:v>
      </x:c>
      <x:c r="G48" s="59" t="str">
        <x:v>PC</x:v>
      </x:c>
      <x:c r="H48" s="59" t="str">
        <x:v>—</x:v>
      </x:c>
      <x:c r="I48" s="59" t="str">
        <x:v>M08-API-01; M08-API-02</x:v>
      </x:c>
      <x:c r="J48" s="59" t="str">
        <x:v>sys_user</x:v>
      </x:c>
      <x:c r="K48" s="59" t="str">
        <x:v>详情含四类计数</x:v>
      </x:c>
      <x:c r="L48" s="59" t="str">
        <x:v>已覆盖</x:v>
      </x:c>
      <x:c r="M48" s="59" t="str">
        <x:v>Frozen</x:v>
      </x:c>
      <x:c r="N48" s="59" t="str">
        <x:v>待设计</x:v>
      </x:c>
      <x:c r="O48" s="59" t="str">
        <x:v>待设计</x:v>
      </x:c>
      <x:c r="P48" s="59" t="str">
        <x:v>用户列表/详情监管；详情含四类计数</x:v>
      </x:c>
      <x:c r="Q48" s="59" t="str">
        <x:v>未执行</x:v>
      </x:c>
      <x:c r="R48" s="59" t="str">
        <x:v>—</x:v>
      </x:c>
      <x:c r="S48" s="60" t="str"/>
    </x:row>
    <x:row r="49" ht="44" customHeight="1">
      <x:c r="A49" s="58" t="str">
        <x:v>RTM-M08-02</x:v>
      </x:c>
      <x:c r="B49" s="59" t="str">
        <x:v>FR-USER-03；BR-14；NFR-DATA-01；NFR-PER-02</x:v>
      </x:c>
      <x:c r="C49" s="59" t="str">
        <x:v>M08 后台管理</x:v>
      </x:c>
      <x:c r="D49" s="59" t="str">
        <x:v>用户状态</x:v>
      </x:c>
      <x:c r="E49" s="59" t="str">
        <x:v>启用/禁用账号</x:v>
      </x:c>
      <x:c r="F49" s="59" t="str">
        <x:v>ADMIN</x:v>
      </x:c>
      <x:c r="G49" s="59" t="str">
        <x:v>PC</x:v>
      </x:c>
      <x:c r="H49" s="59" t="str">
        <x:v>—</x:v>
      </x:c>
      <x:c r="I49" s="59" t="str">
        <x:v>M08-API-03; M08-API-04</x:v>
      </x:c>
      <x:c r="J49" s="59" t="str">
        <x:v>sys_user,operation_log</x:v>
      </x:c>
      <x:c r="K49" s="59" t="str">
        <x:v>ADMIN不可禁用自己；禁用不自动改任务</x:v>
      </x:c>
      <x:c r="L49" s="59" t="str">
        <x:v>已覆盖</x:v>
      </x:c>
      <x:c r="M49" s="59" t="str">
        <x:v>Frozen</x:v>
      </x:c>
      <x:c r="N49" s="59" t="str">
        <x:v>待设计</x:v>
      </x:c>
      <x:c r="O49" s="59" t="str">
        <x:v>待设计</x:v>
      </x:c>
      <x:c r="P49" s="59" t="str">
        <x:v>启用/禁用账号；ADMIN不可禁用自己；禁用不自动改任务</x:v>
      </x:c>
      <x:c r="Q49" s="59" t="str">
        <x:v>未执行</x:v>
      </x:c>
      <x:c r="R49" s="59" t="str">
        <x:v>—</x:v>
      </x:c>
      <x:c r="S49" s="60" t="str"/>
    </x:row>
    <x:row r="50" ht="44" customHeight="1">
      <x:c r="A50" s="58" t="str">
        <x:v>RTM-M08-03</x:v>
      </x:c>
      <x:c r="B50" s="59" t="str">
        <x:v>FR-USER-04；BR-24；BR-14；NFR-DATA-01</x:v>
      </x:c>
      <x:c r="C50" s="59" t="str">
        <x:v>M08 后台管理</x:v>
      </x:c>
      <x:c r="D50" s="59" t="str">
        <x:v>角色管理</x:v>
      </x:c>
      <x:c r="E50" s="59" t="str">
        <x:v>USER 晋升为 RESCUER</x:v>
      </x:c>
      <x:c r="F50" s="59" t="str">
        <x:v>ADMIN</x:v>
      </x:c>
      <x:c r="G50" s="59" t="str">
        <x:v>PC</x:v>
      </x:c>
      <x:c r="H50" s="59" t="str">
        <x:v>—</x:v>
      </x:c>
      <x:c r="I50" s="59" t="str">
        <x:v>M08-API-05</x:v>
      </x:c>
      <x:c r="J50" s="59" t="str">
        <x:v>sys_user,operation_log</x:v>
      </x:c>
      <x:c r="K50" s="59" t="str">
        <x:v>角色变化保留历史</x:v>
      </x:c>
      <x:c r="L50" s="59" t="str">
        <x:v>已覆盖</x:v>
      </x:c>
      <x:c r="M50" s="59" t="str">
        <x:v>Frozen</x:v>
      </x:c>
      <x:c r="N50" s="59" t="str">
        <x:v>待设计</x:v>
      </x:c>
      <x:c r="O50" s="59" t="str">
        <x:v>待设计</x:v>
      </x:c>
      <x:c r="P50" s="59" t="str">
        <x:v>USER 晋升为 RESCUER；角色变化保留历史</x:v>
      </x:c>
      <x:c r="Q50" s="59" t="str">
        <x:v>未执行</x:v>
      </x:c>
      <x:c r="R50" s="59" t="str">
        <x:v>—</x:v>
      </x:c>
      <x:c r="S50" s="60" t="str"/>
    </x:row>
    <x:row r="51" ht="44" customHeight="1">
      <x:c r="A51" s="58" t="str">
        <x:v>RTM-M08-04</x:v>
      </x:c>
      <x:c r="B51" s="59" t="str">
        <x:v>FR-RESCUE-10；FR-RESCUE-11；FR-ADOPT-06；FR-ADOPT-14；BR-22；NFR-PER-01</x:v>
      </x:c>
      <x:c r="C51" s="59" t="str">
        <x:v>M08 后台管理</x:v>
      </x:c>
      <x:c r="D51" s="59" t="str">
        <x:v>业务监管</x:v>
      </x:c>
      <x:c r="E51" s="59" t="str">
        <x:v>监管救助任务/动物/领养记录</x:v>
      </x:c>
      <x:c r="F51" s="59" t="str">
        <x:v>ADMIN</x:v>
      </x:c>
      <x:c r="G51" s="59" t="str">
        <x:v>PC</x:v>
      </x:c>
      <x:c r="H51" s="59" t="str">
        <x:v>—</x:v>
      </x:c>
      <x:c r="I51" s="59" t="str">
        <x:v>M08-API-06; M08-API-07; M08-API-08</x:v>
      </x:c>
      <x:c r="J51" s="59" t="str">
        <x:v>rescue_task,animal,adoption_record</x:v>
      </x:c>
      <x:c r="K51" s="59" t="str">
        <x:v>只读监管列表</x:v>
      </x:c>
      <x:c r="L51" s="59" t="str">
        <x:v>已覆盖</x:v>
      </x:c>
      <x:c r="M51" s="59" t="str">
        <x:v>Frozen</x:v>
      </x:c>
      <x:c r="N51" s="59" t="str">
        <x:v>待设计</x:v>
      </x:c>
      <x:c r="O51" s="59" t="str">
        <x:v>待设计</x:v>
      </x:c>
      <x:c r="P51" s="59" t="str">
        <x:v>监管救助任务/动物/领养记录；只读监管列表</x:v>
      </x:c>
      <x:c r="Q51" s="59" t="str">
        <x:v>未执行</x:v>
      </x:c>
      <x:c r="R51" s="59" t="str">
        <x:v>—</x:v>
      </x:c>
      <x:c r="S51" s="60" t="str"/>
    </x:row>
    <x:row r="52" ht="44" customHeight="1">
      <x:c r="A52" s="58" t="str">
        <x:v>RTM-M08-05</x:v>
      </x:c>
      <x:c r="B52" s="59" t="str">
        <x:v>FR-STAT-01；FR-STAT-02；FR-STAT-03；FR-STAT-04；NFR-PER-01</x:v>
      </x:c>
      <x:c r="C52" s="59" t="str">
        <x:v>M08 后台管理</x:v>
      </x:c>
      <x:c r="D52" s="59" t="str">
        <x:v>数据统计</x:v>
      </x:c>
      <x:c r="E52" s="59" t="str">
        <x:v>查看全局统计概览</x:v>
      </x:c>
      <x:c r="F52" s="59" t="str">
        <x:v>ADMIN</x:v>
      </x:c>
      <x:c r="G52" s="59" t="str">
        <x:v>PC</x:v>
      </x:c>
      <x:c r="H52" s="59" t="str">
        <x:v>—</x:v>
      </x:c>
      <x:c r="I52" s="59" t="str">
        <x:v>M08-API-09</x:v>
      </x:c>
      <x:c r="J52" s="59" t="str">
        <x:v>rescue_clue,rescue_task,animal,adoption_application,adoption_record,follow_up_record</x:v>
      </x:c>
      <x:c r="K52" s="59" t="str">
        <x:v>Clue6/Task5/Animal5/Application5状态键即使0也返回</x:v>
      </x:c>
      <x:c r="L52" s="59" t="str">
        <x:v>已覆盖</x:v>
      </x:c>
      <x:c r="M52" s="59" t="str">
        <x:v>Frozen</x:v>
      </x:c>
      <x:c r="N52" s="59" t="str">
        <x:v>待设计</x:v>
      </x:c>
      <x:c r="O52" s="59" t="str">
        <x:v>待设计</x:v>
      </x:c>
      <x:c r="P52" s="59" t="str">
        <x:v>查看全局统计概览；Clue6/Task5/Animal5/Application5状态键即使0也返回</x:v>
      </x:c>
      <x:c r="Q52" s="59" t="str">
        <x:v>未执行</x:v>
      </x:c>
      <x:c r="R52" s="59" t="str">
        <x:v>—</x:v>
      </x:c>
      <x:c r="S52" s="60" t="str"/>
    </x:row>
    <x:row r="53" ht="44" customHeight="1">
      <x:c r="A53" s="61" t="str">
        <x:v>RTM-M08-06</x:v>
      </x:c>
      <x:c r="B53" s="62" t="str">
        <x:v>FR-STAT-05；NFR-PER-01</x:v>
      </x:c>
      <x:c r="C53" s="62" t="str">
        <x:v>M08 后台管理</x:v>
      </x:c>
      <x:c r="D53" s="62" t="str">
        <x:v>数据统计</x:v>
      </x:c>
      <x:c r="E53" s="62" t="str">
        <x:v>按日期范围查看 DAY 粒度救助成功/领养趋势</x:v>
      </x:c>
      <x:c r="F53" s="62" t="str">
        <x:v>ADMIN</x:v>
      </x:c>
      <x:c r="G53" s="62" t="str">
        <x:v>PC</x:v>
      </x:c>
      <x:c r="H53" s="62" t="str">
        <x:v>—</x:v>
      </x:c>
      <x:c r="I53" s="62" t="str">
        <x:v>M08-API-10</x:v>
      </x:c>
      <x:c r="J53" s="62" t="str">
        <x:v>rescue_task,adoption_record</x:v>
      </x:c>
      <x:c r="K53" s="62" t="str">
        <x:v>from/to inclusive；Asia/Shanghai；零填充</x:v>
      </x:c>
      <x:c r="L53" s="62" t="str">
        <x:v>已覆盖</x:v>
      </x:c>
      <x:c r="M53" s="62" t="str">
        <x:v>Frozen</x:v>
      </x:c>
      <x:c r="N53" s="62" t="str">
        <x:v>待设计</x:v>
      </x:c>
      <x:c r="O53" s="62" t="str">
        <x:v>待设计</x:v>
      </x:c>
      <x:c r="P53" s="62" t="str">
        <x:v>按日期范围查看 DAY 粒度救助成功/领养趋势；from/to inclusive；Asia/Shanghai；零填充</x:v>
      </x:c>
      <x:c r="Q53" s="62" t="str">
        <x:v>未执行</x:v>
      </x:c>
      <x:c r="R53" s="62" t="str">
        <x:v>—</x:v>
      </x:c>
      <x:c r="S53" s="63" t="str"/>
    </x:row>
  </x:sheetData>
  <x:conditionalFormatting sqref="K2:K51">
    <x:cfRule type="expression" dxfId="0" priority="1">
      <x:formula>K2="Frozen"</x:formula>
    </x:cfRule>
    <x:cfRule type="expression" dxfId="1" priority="2">
      <x:formula>K2="待统一"</x:formula>
    </x:cfRule>
  </x:conditionalFormatting>
  <x:conditionalFormatting sqref="J2:J51">
    <x:cfRule type="expression" dxfId="8" priority="3">
      <x:formula>J2="已覆盖"</x:formula>
    </x:cfRule>
  </x:conditionalFormatting>
  <x:conditionalFormatting sqref="M2:M53">
    <x:cfRule type="expression" dxfId="9" priority="4">
      <x:formula>M2="Frozen"</x:formula>
    </x:cfRule>
  </x:conditionalFormatting>
  <x:conditionalFormatting sqref="Q2:Q53">
    <x:cfRule type="expression" dxfId="10" priority="5">
      <x:formula>Q2="未执行"</x:formula>
    </x:cfRule>
    <x:cfRule type="expression" dxfId="11" priority="6">
      <x:formula>Q2="通过"</x:formula>
    </x:cfRule>
    <x:cfRule type="expression" dxfId="12" priority="7">
      <x:formula>Q2="失败"</x:formula>
    </x:cfRule>
  </x:conditionalFormatting>
  <x:dataValidations count="2">
    <x:dataValidation type="list" sqref="M2:M53">
      <x:formula1>"Frozen,候选,待确认"</x:formula1>
    </x:dataValidation>
    <x:dataValidation type="list" sqref="Q2:Q53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3303f03e7a4f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8" hidden="0" customWidth="1"/>
    <x:col min="5" max="5" width="48" hidden="0" customWidth="1"/>
    <x:col min="6" max="6" width="45" hidden="0" customWidth="1"/>
    <x:col min="7" max="7" width="34" hidden="0" customWidth="1"/>
    <x:col min="8" max="8" width="40" hidden="0" customWidth="1"/>
    <x:col min="9" max="9" width="38" hidden="0" customWidth="1"/>
    <x:col min="10" max="10" width="12" hidden="0" customWidth="1"/>
  </x:cols>
  <x:sheetData>
    <x:row r="1" ht="30" customHeight="1">
      <x:c r="A1" s="55" t="str">
        <x:v>用例ID</x:v>
      </x:c>
      <x:c r="B1" s="56" t="str">
        <x:v>用例名称</x:v>
      </x:c>
      <x:c r="C1" s="56" t="str">
        <x:v>参与者</x:v>
      </x:c>
      <x:c r="D1" s="56" t="str">
        <x:v>前置条件</x:v>
      </x:c>
      <x:c r="E1" s="56" t="str">
        <x:v>核心流程</x:v>
      </x:c>
      <x:c r="F1" s="56" t="str">
        <x:v>状态变化</x:v>
      </x:c>
      <x:c r="G1" s="56" t="str">
        <x:v>核心API</x:v>
      </x:c>
      <x:c r="H1" s="56" t="str">
        <x:v>核心实体</x:v>
      </x:c>
      <x:c r="I1" s="56" t="str">
        <x:v>高保真原型覆盖</x:v>
      </x:c>
      <x:c r="J1" s="57" t="str">
        <x:v>状态</x:v>
      </x:c>
    </x:row>
    <x:row r="2" ht="58" customHeight="1">
      <x:c r="A2" s="58" t="str">
        <x:v>UC-01</x:v>
      </x:c>
      <x:c r="B2" s="59" t="str">
        <x:v>发布救助线索</x:v>
      </x:c>
      <x:c r="C2" s="59" t="str">
        <x:v>USER/RESCUER</x:v>
      </x:c>
      <x:c r="D2" s="59" t="str">
        <x:v>至少1张图片；地点/时间/描述/联系方式有效</x:v>
      </x:c>
      <x:c r="E2" s="59" t="str">
        <x:v>请求幂等键→提交线索→校验临时文件→创建Clue+Images→绑定文件→CREATE日志</x:v>
      </x:c>
      <x:c r="F2" s="59" t="str">
        <x:v>RescueClue:PENDING_REVIEW</x:v>
      </x:c>
      <x:c r="G2" s="59" t="str">
        <x:v>M02-API-01; M02-API-02</x:v>
      </x:c>
      <x:c r="H2" s="59" t="str">
        <x:v>rescue_clue,rescue_clue_image,temporary_file,operation_log</x:v>
      </x:c>
      <x:c r="I2" s="59" t="str">
        <x:v>移动端：发布救助线索/我的线索/修改图片</x:v>
      </x:c>
      <x:c r="J2" s="60" t="str">
        <x:v>Frozen</x:v>
      </x:c>
    </x:row>
    <x:row r="3" ht="58" customHeight="1">
      <x:c r="A3" s="58" t="str">
        <x:v>UC-02</x:v>
      </x:c>
      <x:c r="B3" s="59" t="str">
        <x:v>审核救助线索</x:v>
      </x:c>
      <x:c r="C3" s="59" t="str">
        <x:v>ADMIN</x:v>
      </x:c>
      <x:c r="D3" s="59" t="str">
        <x:v>目标线索 PENDING_REVIEW</x:v>
      </x:c>
      <x:c r="E3" s="59" t="str">
        <x:v>审核通过→WAITING_ACCEPT；驳回→REJECTED且原因必填</x:v>
      </x:c>
      <x:c r="F3" s="59" t="str">
        <x:v>PENDING_REVIEW→WAITING_ACCEPT/REJECTED</x:v>
      </x:c>
      <x:c r="G3" s="59" t="str">
        <x:v>M02-API-09; M02-API-10</x:v>
      </x:c>
      <x:c r="H3" s="59" t="str">
        <x:v>rescue_clue,operation_log</x:v>
      </x:c>
      <x:c r="I3" s="59" t="str">
        <x:v>PC：线索审核</x:v>
      </x:c>
      <x:c r="J3" s="60" t="str">
        <x:v>Frozen</x:v>
      </x:c>
    </x:row>
    <x:row r="4" ht="58" customHeight="1">
      <x:c r="A4" s="58" t="str">
        <x:v>UC-03</x:v>
      </x:c>
      <x:c r="B4" s="59" t="str">
        <x:v>接取救助任务</x:v>
      </x:c>
      <x:c r="C4" s="59" t="str">
        <x:v>RESCUER</x:v>
      </x:c>
      <x:c r="D4" s="59" t="str">
        <x:v>线索 WAITING_ACCEPT</x:v>
      </x:c>
      <x:c r="E4" s="59" t="str">
        <x:v>查看待接线索→详情→接取→Clue原子改CONVERTED→创建WAITING_START Task</x:v>
      </x:c>
      <x:c r="F4" s="59" t="str">
        <x:v>Clue WAITING_ACCEPT→CONVERTED; Task→WAITING_START</x:v>
      </x:c>
      <x:c r="G4" s="59" t="str">
        <x:v>M03-API-01; M03-API-02</x:v>
      </x:c>
      <x:c r="H4" s="59" t="str">
        <x:v>rescue_clue,rescue_task,operation_log</x:v>
      </x:c>
      <x:c r="I4" s="59" t="str">
        <x:v>移动端：等待接取/线索详情/接取</x:v>
      </x:c>
      <x:c r="J4" s="60" t="str">
        <x:v>Frozen</x:v>
      </x:c>
    </x:row>
    <x:row r="5" ht="58" customHeight="1">
      <x:c r="A5" s="58" t="str">
        <x:v>UC-04</x:v>
      </x:c>
      <x:c r="B5" s="59" t="str">
        <x:v>救助过程与结果</x:v>
      </x:c>
      <x:c r="C5" s="59" t="str">
        <x:v>RESCUER</x:v>
      </x:c>
      <x:c r="D5" s="59" t="str">
        <x:v>当前用户为Task负责人</x:v>
      </x:c>
      <x:c r="E5" s="59" t="str">
        <x:v>开始→追加0..N记录→SUCCESS或FAILED；SUCCESS至少创建1 Animal</x:v>
      </x:c>
      <x:c r="F5" s="59" t="str">
        <x:v>Task WAITING_START→IN_PROGRESS→SUCCESS/FAILED; Success时Clue→CLOSED</x:v>
      </x:c>
      <x:c r="G5" s="59" t="str">
        <x:v>M03-API-05; M03-API-06; M03-API-07; M03-API-08</x:v>
      </x:c>
      <x:c r="H5" s="59" t="str">
        <x:v>rescue_task,rescue_record,rescue_clue,animal,animal_image,health_record,temporary_file,operation_log</x:v>
      </x:c>
      <x:c r="I5" s="59" t="str">
        <x:v>移动端：任务详情/过程记录/结果/Animal建档</x:v>
      </x:c>
      <x:c r="J5" s="60" t="str">
        <x:v>Frozen</x:v>
      </x:c>
    </x:row>
    <x:row r="6" ht="58" customHeight="1">
      <x:c r="A6" s="58" t="str">
        <x:v>UC-05</x:v>
      </x:c>
      <x:c r="B6" s="59" t="str">
        <x:v>提交领养申请</x:v>
      </x:c>
      <x:c r="C6" s="59" t="str">
        <x:v>USER/RESCUER</x:v>
      </x:c>
      <x:c r="D6" s="59" t="str">
        <x:v>Animal AVAILABLE；同用户同动物从未申请</x:v>
      </x:c>
      <x:c r="E6" s="59" t="str">
        <x:v>提交→PENDING；申请人可在PENDING撤回</x:v>
      </x:c>
      <x:c r="F6" s="59" t="str">
        <x:v>Application PENDING→WITHDRAWN</x:v>
      </x:c>
      <x:c r="G6" s="59" t="str">
        <x:v>M05-API-01; M05-API-04</x:v>
      </x:c>
      <x:c r="H6" s="59" t="str">
        <x:v>animal,adoption_application,operation_log</x:v>
      </x:c>
      <x:c r="I6" s="59" t="str">
        <x:v>移动端：申请表/我的申请/详情</x:v>
      </x:c>
      <x:c r="J6" s="60" t="str">
        <x:v>Frozen</x:v>
      </x:c>
    </x:row>
    <x:row r="7" ht="58" customHeight="1">
      <x:c r="A7" s="58" t="str">
        <x:v>UC-06</x:v>
      </x:c>
      <x:c r="B7" s="59" t="str">
        <x:v>审核领养申请</x:v>
      </x:c>
      <x:c r="C7" s="59" t="str">
        <x:v>ADMIN</x:v>
      </x:c>
      <x:c r="D7" s="59" t="str">
        <x:v>目标Application PENDING；ADMIN不得审核自己历史申请</x:v>
      </x:c>
      <x:c r="E7" s="59" t="str">
        <x:v>REJECT或APPROVE；APPROVE锁Animal→目标App→其他PENDING，创建Record并自动失效其他申请</x:v>
      </x:c>
      <x:c r="F7" s="59" t="str">
        <x:v>PENDING→APPROVED/REJECTED; 其他PENDING→INVALIDATED; Animal→ADOPTED</x:v>
      </x:c>
      <x:c r="G7" s="59" t="str">
        <x:v>M05-API-05; M05-API-06</x:v>
      </x:c>
      <x:c r="H7" s="59" t="str">
        <x:v>animal,adoption_application,adoption_record,operation_log</x:v>
      </x:c>
      <x:c r="I7" s="59" t="str">
        <x:v>PC：领养审核/领养记录监管</x:v>
      </x:c>
      <x:c r="J7" s="60" t="str">
        <x:v>Frozen</x:v>
      </x:c>
    </x:row>
    <x:row r="8" ht="58" customHeight="1">
      <x:c r="A8" s="61" t="str">
        <x:v>UC-07</x:v>
      </x:c>
      <x:c r="B8" s="62" t="str">
        <x:v>提交领养回访</x:v>
      </x:c>
      <x:c r="C8" s="62" t="str">
        <x:v>USER/RESCUER（最终领养人）</x:v>
      </x:c>
      <x:c r="D8" s="62" t="str">
        <x:v>当前用户拥有 AdoptionRecord；content/health/images至少一项</x:v>
      </x:c>
      <x:c r="E8" s="62" t="str">
        <x:v>永久幂等键→先插FollowUpRecord→再绑定0..9图片→返回首个结果</x:v>
      </x:c>
      <x:c r="F8" s="62" t="str">
        <x:v>FollowUpRecord append-only</x:v>
      </x:c>
      <x:c r="G8" s="62" t="str">
        <x:v>M06-API-01</x:v>
      </x:c>
      <x:c r="H8" s="62" t="str">
        <x:v>adoption_record,follow_up_record,follow_up_image,temporary_file</x:v>
      </x:c>
      <x:c r="I8" s="62" t="str">
        <x:v>移动端：提交回访/历史回访/详情</x:v>
      </x:c>
      <x:c r="J8" s="63" t="str">
        <x:v>Frozen</x:v>
      </x:c>
    </x:row>
  </x:sheetData>
  <x:conditionalFormatting sqref="J2:J8">
    <x:cfRule type="expression" dxfId="2" priority="1">
      <x:formula>J2="Frozen"</x:formula>
    </x:cfRule>
    <x:cfRule type="expression" dxfId="3" priority="2">
      <x:formula>J2="待统一"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753bfbebe34ad8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1" hidden="0" customWidth="1"/>
    <x:col min="3" max="3" width="9" hidden="0" customWidth="1"/>
    <x:col min="4" max="4" width="45" hidden="0" customWidth="1"/>
    <x:col min="5" max="5" width="24" hidden="0" customWidth="1"/>
    <x:col min="6" max="6" width="28" hidden="0" customWidth="1"/>
    <x:col min="7" max="7" width="13" hidden="0" customWidth="1"/>
    <x:col min="8" max="8" width="34" hidden="0" customWidth="1"/>
    <x:col min="9" max="9" width="32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2" hidden="0" customWidth="1"/>
  </x:cols>
  <x:sheetData>
    <x:row r="1" ht="30" customHeight="1">
      <x:c r="A1" s="55" t="str">
        <x:v>API ID</x:v>
      </x:c>
      <x:c r="B1" s="56" t="str">
        <x:v>模块</x:v>
      </x:c>
      <x:c r="C1" s="56" t="str">
        <x:v>Method</x:v>
      </x:c>
      <x:c r="D1" s="56" t="str">
        <x:v>Endpoint</x:v>
      </x:c>
      <x:c r="E1" s="56" t="str">
        <x:v>权限/可见性</x:v>
      </x:c>
      <x:c r="F1" s="56" t="str">
        <x:v>用途</x:v>
      </x:c>
      <x:c r="G1" s="56" t="str">
        <x:v>关联用例</x:v>
      </x:c>
      <x:c r="H1" s="56" t="str">
        <x:v>关联RTM ID</x:v>
      </x:c>
      <x:c r="I1" s="56" t="str">
        <x:v>关联实体</x:v>
      </x:c>
      <x:c r="J1" s="56" t="str">
        <x:v>测试用例ID</x:v>
      </x:c>
      <x:c r="K1" s="56" t="str">
        <x:v>实现状态</x:v>
      </x:c>
      <x:c r="L1" s="56" t="str">
        <x:v>测试状态</x:v>
      </x:c>
      <x:c r="M1" s="56" t="str">
        <x:v>原型入口</x:v>
      </x:c>
      <x:c r="N1" s="57" t="str">
        <x:v>Frozen状态</x:v>
      </x:c>
    </x:row>
    <x:row r="2" ht="30" customHeight="1">
      <x:c r="A2" s="58" t="str">
        <x:v>M01-API-01</x:v>
      </x:c>
      <x:c r="B2" s="59" t="str">
        <x:v>M01</x:v>
      </x:c>
      <x:c r="C2" s="59" t="str">
        <x:v>POST</x:v>
      </x:c>
      <x:c r="D2" s="59" t="str">
        <x:v>/api/auth/register</x:v>
      </x:c>
      <x:c r="E2" s="59" t="str">
        <x:v>permitAll</x:v>
      </x:c>
      <x:c r="F2" s="59" t="str">
        <x:v>注册 USER</x:v>
      </x:c>
      <x:c r="G2" s="59" t="str">
        <x:v>—</x:v>
      </x:c>
      <x:c r="H2" s="59" t="str">
        <x:v>RTM-M01-01</x:v>
      </x:c>
      <x:c r="I2" s="59" t="str">
        <x:v>sys_user</x:v>
      </x:c>
      <x:c r="J2" s="59" t="str">
        <x:v>待设计</x:v>
      </x:c>
      <x:c r="K2" s="59" t="str">
        <x:v>待编码</x:v>
      </x:c>
      <x:c r="L2" s="59" t="str">
        <x:v>未执行</x:v>
      </x:c>
      <x:c r="M2" s="59" t="str">
        <x:v>移动端 注册</x:v>
      </x:c>
      <x:c r="N2" s="60" t="str">
        <x:v>Frozen</x:v>
      </x:c>
    </x:row>
    <x:row r="3" ht="30" customHeight="1">
      <x:c r="A3" s="58" t="str">
        <x:v>M01-API-02</x:v>
      </x:c>
      <x:c r="B3" s="59" t="str">
        <x:v>M01</x:v>
      </x:c>
      <x:c r="C3" s="59" t="str">
        <x:v>POST</x:v>
      </x:c>
      <x:c r="D3" s="59" t="str">
        <x:v>/api/auth/login</x:v>
      </x:c>
      <x:c r="E3" s="59" t="str">
        <x:v>permitAll</x:v>
      </x:c>
      <x:c r="F3" s="59" t="str">
        <x:v>登录</x:v>
      </x:c>
      <x:c r="G3" s="59" t="str">
        <x:v>—</x:v>
      </x:c>
      <x:c r="H3" s="59" t="str">
        <x:v>RTM-M01-02</x:v>
      </x:c>
      <x:c r="I3" s="59" t="str">
        <x:v>sys_user</x:v>
      </x:c>
      <x:c r="J3" s="59" t="str">
        <x:v>待设计</x:v>
      </x:c>
      <x:c r="K3" s="59" t="str">
        <x:v>待编码</x:v>
      </x:c>
      <x:c r="L3" s="59" t="str">
        <x:v>未执行</x:v>
      </x:c>
      <x:c r="M3" s="59" t="str">
        <x:v>移动端 登录</x:v>
      </x:c>
      <x:c r="N3" s="60" t="str">
        <x:v>Frozen</x:v>
      </x:c>
    </x:row>
    <x:row r="4" ht="30" customHeight="1">
      <x:c r="A4" s="58" t="str">
        <x:v>M01-API-03</x:v>
      </x:c>
      <x:c r="B4" s="59" t="str">
        <x:v>M01</x:v>
      </x:c>
      <x:c r="C4" s="59" t="str">
        <x:v>GET</x:v>
      </x:c>
      <x:c r="D4" s="59" t="str">
        <x:v>/api/users/me</x:v>
      </x:c>
      <x:c r="E4" s="59" t="str">
        <x:v>USER/RESCUER/ADMIN</x:v>
      </x:c>
      <x:c r="F4" s="59" t="str">
        <x:v>当前用户资料</x:v>
      </x:c>
      <x:c r="G4" s="59" t="str">
        <x:v>—</x:v>
      </x:c>
      <x:c r="H4" s="59" t="str">
        <x:v>RTM-M01-03</x:v>
      </x:c>
      <x:c r="I4" s="59" t="str">
        <x:v>sys_user</x:v>
      </x:c>
      <x:c r="J4" s="59" t="str">
        <x:v>待设计</x:v>
      </x:c>
      <x:c r="K4" s="59" t="str">
        <x:v>待编码</x:v>
      </x:c>
      <x:c r="L4" s="59" t="str">
        <x:v>未执行</x:v>
      </x:c>
      <x:c r="M4" s="59" t="str">
        <x:v>移动端 我的</x:v>
      </x:c>
      <x:c r="N4" s="60" t="str">
        <x:v>Frozen</x:v>
      </x:c>
    </x:row>
    <x:row r="5" ht="30" customHeight="1">
      <x:c r="A5" s="58" t="str">
        <x:v>M01-API-04</x:v>
      </x:c>
      <x:c r="B5" s="59" t="str">
        <x:v>M01</x:v>
      </x:c>
      <x:c r="C5" s="59" t="str">
        <x:v>PATCH</x:v>
      </x:c>
      <x:c r="D5" s="59" t="str">
        <x:v>/api/users/me</x:v>
      </x:c>
      <x:c r="E5" s="59" t="str">
        <x:v>USER/RESCUER/ADMIN</x:v>
      </x:c>
      <x:c r="F5" s="59" t="str">
        <x:v>编辑个人资料</x:v>
      </x:c>
      <x:c r="G5" s="59" t="str">
        <x:v>—</x:v>
      </x:c>
      <x:c r="H5" s="59" t="str">
        <x:v>RTM-M01-04</x:v>
      </x:c>
      <x:c r="I5" s="59" t="str">
        <x:v>sys_user</x:v>
      </x:c>
      <x:c r="J5" s="59" t="str">
        <x:v>待设计</x:v>
      </x:c>
      <x:c r="K5" s="59" t="str">
        <x:v>待编码</x:v>
      </x:c>
      <x:c r="L5" s="59" t="str">
        <x:v>未执行</x:v>
      </x:c>
      <x:c r="M5" s="59" t="str">
        <x:v>移动端 编辑资料</x:v>
      </x:c>
      <x:c r="N5" s="60" t="str">
        <x:v>Frozen</x:v>
      </x:c>
    </x:row>
    <x:row r="6" ht="30" customHeight="1">
      <x:c r="A6" s="58" t="str">
        <x:v>COMMON-API-01</x:v>
      </x:c>
      <x:c r="B6" s="59" t="str">
        <x:v>共享文件</x:v>
      </x:c>
      <x:c r="C6" s="59" t="str">
        <x:v>POST</x:v>
      </x:c>
      <x:c r="D6" s="59" t="str">
        <x:v>/api/files/temporary</x:v>
      </x:c>
      <x:c r="E6" s="59" t="str">
        <x:v>USER/RESCUER/ADMIN</x:v>
      </x:c>
      <x:c r="F6" s="59" t="str">
        <x:v>临时文件上传</x:v>
      </x:c>
      <x:c r="G6" s="59" t="str">
        <x:v>—</x:v>
      </x:c>
      <x:c r="H6" s="59" t="str">
        <x:v>RTM-M01-05</x:v>
      </x:c>
      <x:c r="I6" s="59" t="str">
        <x:v>temporary_file</x:v>
      </x:c>
      <x:c r="J6" s="59" t="str">
        <x:v>待设计</x:v>
      </x:c>
      <x:c r="K6" s="59" t="str">
        <x:v>待编码</x:v>
      </x:c>
      <x:c r="L6" s="59" t="str">
        <x:v>未执行</x:v>
      </x:c>
      <x:c r="M6" s="59" t="str">
        <x:v>PC/移动端 上传区</x:v>
      </x:c>
      <x:c r="N6" s="60" t="str">
        <x:v>Frozen</x:v>
      </x:c>
    </x:row>
    <x:row r="7" ht="30" customHeight="1">
      <x:c r="A7" s="58" t="str">
        <x:v>M02-API-01</x:v>
      </x:c>
      <x:c r="B7" s="59" t="str">
        <x:v>M02</x:v>
      </x:c>
      <x:c r="C7" s="59" t="str">
        <x:v>POST</x:v>
      </x:c>
      <x:c r="D7" s="59" t="str">
        <x:v>/api/rescue-clues/idempotency-keys</x:v>
      </x:c>
      <x:c r="E7" s="59" t="str">
        <x:v>USER/RESCUER</x:v>
      </x:c>
      <x:c r="F7" s="59" t="str">
        <x:v>申请线索提交幂等键</x:v>
      </x:c>
      <x:c r="G7" s="59" t="str">
        <x:v>UC-01</x:v>
      </x:c>
      <x:c r="H7" s="59" t="str">
        <x:v>RTM-M02-01</x:v>
      </x:c>
      <x:c r="I7" s="59" t="str">
        <x:v>rescue_clue,rescue_clue_image,temporary_file</x:v>
      </x:c>
      <x:c r="J7" s="59" t="str">
        <x:v>待设计</x:v>
      </x:c>
      <x:c r="K7" s="59" t="str">
        <x:v>待编码</x:v>
      </x:c>
      <x:c r="L7" s="59" t="str">
        <x:v>未执行</x:v>
      </x:c>
      <x:c r="M7" s="59" t="str">
        <x:v>移动端 发布线索</x:v>
      </x:c>
      <x:c r="N7" s="60" t="str">
        <x:v>Frozen</x:v>
      </x:c>
    </x:row>
    <x:row r="8" ht="30" customHeight="1">
      <x:c r="A8" s="58" t="str">
        <x:v>M02-API-02</x:v>
      </x:c>
      <x:c r="B8" s="59" t="str">
        <x:v>M02</x:v>
      </x:c>
      <x:c r="C8" s="59" t="str">
        <x:v>POST</x:v>
      </x:c>
      <x:c r="D8" s="59" t="str">
        <x:v>/api/rescue-clues</x:v>
      </x:c>
      <x:c r="E8" s="59" t="str">
        <x:v>USER/RESCUER</x:v>
      </x:c>
      <x:c r="F8" s="59" t="str">
        <x:v>创建救助线索</x:v>
      </x:c>
      <x:c r="G8" s="59" t="str">
        <x:v>UC-01</x:v>
      </x:c>
      <x:c r="H8" s="59" t="str">
        <x:v>RTM-M02-01</x:v>
      </x:c>
      <x:c r="I8" s="59" t="str">
        <x:v>rescue_clue,rescue_clue_image,temporary_file</x:v>
      </x:c>
      <x:c r="J8" s="59" t="str">
        <x:v>待设计</x:v>
      </x:c>
      <x:c r="K8" s="59" t="str">
        <x:v>待编码</x:v>
      </x:c>
      <x:c r="L8" s="59" t="str">
        <x:v>未执行</x:v>
      </x:c>
      <x:c r="M8" s="59" t="str">
        <x:v>移动端 发布线索</x:v>
      </x:c>
      <x:c r="N8" s="60" t="str">
        <x:v>Frozen</x:v>
      </x:c>
    </x:row>
    <x:row r="9" ht="30" customHeight="1">
      <x:c r="A9" s="58" t="str">
        <x:v>M02-API-03</x:v>
      </x:c>
      <x:c r="B9" s="59" t="str">
        <x:v>M02</x:v>
      </x:c>
      <x:c r="C9" s="59" t="str">
        <x:v>GET</x:v>
      </x:c>
      <x:c r="D9" s="59" t="str">
        <x:v>/api/rescue-clues/me</x:v>
      </x:c>
      <x:c r="E9" s="59" t="str">
        <x:v>USER/RESCUER</x:v>
      </x:c>
      <x:c r="F9" s="59" t="str">
        <x:v>我的线索</x:v>
      </x:c>
      <x:c r="G9" s="59" t="str">
        <x:v>UC-01</x:v>
      </x:c>
      <x:c r="H9" s="59" t="str">
        <x:v>RTM-M02-02</x:v>
      </x:c>
      <x:c r="I9" s="59" t="str">
        <x:v>rescue_clue</x:v>
      </x:c>
      <x:c r="J9" s="59" t="str">
        <x:v>待设计</x:v>
      </x:c>
      <x:c r="K9" s="59" t="str">
        <x:v>待编码</x:v>
      </x:c>
      <x:c r="L9" s="59" t="str">
        <x:v>未执行</x:v>
      </x:c>
      <x:c r="M9" s="59" t="str">
        <x:v>移动端 我的线索</x:v>
      </x:c>
      <x:c r="N9" s="60" t="str">
        <x:v>Frozen</x:v>
      </x:c>
    </x:row>
    <x:row r="10" ht="30" customHeight="1">
      <x:c r="A10" s="58" t="str">
        <x:v>M02-API-04</x:v>
      </x:c>
      <x:c r="B10" s="59" t="str">
        <x:v>M02</x:v>
      </x:c>
      <x:c r="C10" s="59" t="str">
        <x:v>GET</x:v>
      </x:c>
      <x:c r="D10" s="59" t="str">
        <x:v>/api/rescue-clues/{clueId}</x:v>
      </x:c>
      <x:c r="E10" s="59" t="str">
        <x:v>按可见性</x:v>
      </x:c>
      <x:c r="F10" s="59" t="str">
        <x:v>线索详情</x:v>
      </x:c>
      <x:c r="G10" s="59" t="str">
        <x:v>UC-01/02/03</x:v>
      </x:c>
      <x:c r="H10" s="59" t="str">
        <x:v>RTM-M02-03</x:v>
      </x:c>
      <x:c r="I10" s="59" t="str">
        <x:v>rescue_clue,rescue_clue_image,rescue_task</x:v>
      </x:c>
      <x:c r="J10" s="59" t="str">
        <x:v>待设计</x:v>
      </x:c>
      <x:c r="K10" s="59" t="str">
        <x:v>待编码</x:v>
      </x:c>
      <x:c r="L10" s="59" t="str">
        <x:v>未执行</x:v>
      </x:c>
      <x:c r="M10" s="59" t="str">
        <x:v>PC/移动端 详情</x:v>
      </x:c>
      <x:c r="N10" s="60" t="str">
        <x:v>Frozen</x:v>
      </x:c>
    </x:row>
    <x:row r="11" ht="30" customHeight="1">
      <x:c r="A11" s="58" t="str">
        <x:v>M02-API-05</x:v>
      </x:c>
      <x:c r="B11" s="59" t="str">
        <x:v>M02</x:v>
      </x:c>
      <x:c r="C11" s="59" t="str">
        <x:v>PATCH</x:v>
      </x:c>
      <x:c r="D11" s="59" t="str">
        <x:v>/api/rescue-clues/{clueId}</x:v>
      </x:c>
      <x:c r="E11" s="59" t="str">
        <x:v>发布者</x:v>
      </x:c>
      <x:c r="F11" s="59" t="str">
        <x:v>修改待审核线索</x:v>
      </x:c>
      <x:c r="G11" s="59" t="str">
        <x:v>UC-01</x:v>
      </x:c>
      <x:c r="H11" s="59" t="str">
        <x:v>RTM-M02-04</x:v>
      </x:c>
      <x:c r="I11" s="59" t="str">
        <x:v>rescue_clue</x:v>
      </x:c>
      <x:c r="J11" s="59" t="str">
        <x:v>待设计</x:v>
      </x:c>
      <x:c r="K11" s="59" t="str">
        <x:v>待编码</x:v>
      </x:c>
      <x:c r="L11" s="59" t="str">
        <x:v>未执行</x:v>
      </x:c>
      <x:c r="M11" s="59" t="str">
        <x:v>移动端 修改线索</x:v>
      </x:c>
      <x:c r="N11" s="60" t="str">
        <x:v>Frozen</x:v>
      </x:c>
    </x:row>
    <x:row r="12" ht="30" customHeight="1">
      <x:c r="A12" s="58" t="str">
        <x:v>M02-API-06</x:v>
      </x:c>
      <x:c r="B12" s="59" t="str">
        <x:v>M02</x:v>
      </x:c>
      <x:c r="C12" s="59" t="str">
        <x:v>POST</x:v>
      </x:c>
      <x:c r="D12" s="59" t="str">
        <x:v>/api/rescue-clues/{clueId}/images</x:v>
      </x:c>
      <x:c r="E12" s="59" t="str">
        <x:v>发布者</x:v>
      </x:c>
      <x:c r="F12" s="59" t="str">
        <x:v>追加线索图片</x:v>
      </x:c>
      <x:c r="G12" s="59" t="str">
        <x:v>UC-01</x:v>
      </x:c>
      <x:c r="H12" s="59" t="str">
        <x:v>RTM-M02-05</x:v>
      </x:c>
      <x:c r="I12" s="59" t="str">
        <x:v>rescue_clue_image,temporary_file</x:v>
      </x:c>
      <x:c r="J12" s="59" t="str">
        <x:v>待设计</x:v>
      </x:c>
      <x:c r="K12" s="59" t="str">
        <x:v>待编码</x:v>
      </x:c>
      <x:c r="L12" s="59" t="str">
        <x:v>未执行</x:v>
      </x:c>
      <x:c r="M12" s="59" t="str">
        <x:v>移动端 修改线索</x:v>
      </x:c>
      <x:c r="N12" s="60" t="str">
        <x:v>Frozen</x:v>
      </x:c>
    </x:row>
    <x:row r="13" ht="30" customHeight="1">
      <x:c r="A13" s="58" t="str">
        <x:v>M02-API-07</x:v>
      </x:c>
      <x:c r="B13" s="59" t="str">
        <x:v>M02</x:v>
      </x:c>
      <x:c r="C13" s="59" t="str">
        <x:v>DELETE</x:v>
      </x:c>
      <x:c r="D13" s="59" t="str">
        <x:v>/api/rescue-clues/{clueId}/images/{imageId}</x:v>
      </x:c>
      <x:c r="E13" s="59" t="str">
        <x:v>发布者</x:v>
      </x:c>
      <x:c r="F13" s="59" t="str">
        <x:v>删除线索图片</x:v>
      </x:c>
      <x:c r="G13" s="59" t="str">
        <x:v>UC-01</x:v>
      </x:c>
      <x:c r="H13" s="59" t="str">
        <x:v>RTM-M02-05</x:v>
      </x:c>
      <x:c r="I13" s="59" t="str">
        <x:v>rescue_clue_image,temporary_file</x:v>
      </x:c>
      <x:c r="J13" s="59" t="str">
        <x:v>待设计</x:v>
      </x:c>
      <x:c r="K13" s="59" t="str">
        <x:v>待编码</x:v>
      </x:c>
      <x:c r="L13" s="59" t="str">
        <x:v>未执行</x:v>
      </x:c>
      <x:c r="M13" s="59" t="str">
        <x:v>移动端 修改线索</x:v>
      </x:c>
      <x:c r="N13" s="60" t="str">
        <x:v>Frozen</x:v>
      </x:c>
    </x:row>
    <x:row r="14" ht="30" customHeight="1">
      <x:c r="A14" s="58" t="str">
        <x:v>M02-API-08</x:v>
      </x:c>
      <x:c r="B14" s="59" t="str">
        <x:v>M02</x:v>
      </x:c>
      <x:c r="C14" s="59" t="str">
        <x:v>POST</x:v>
      </x:c>
      <x:c r="D14" s="59" t="str">
        <x:v>/api/rescue-clues/{clueId}/withdraw</x:v>
      </x:c>
      <x:c r="E14" s="59" t="str">
        <x:v>发布者</x:v>
      </x:c>
      <x:c r="F14" s="59" t="str">
        <x:v>撤回待审核线索</x:v>
      </x:c>
      <x:c r="G14" s="59" t="str">
        <x:v>UC-01</x:v>
      </x:c>
      <x:c r="H14" s="59" t="str">
        <x:v>RTM-M02-06</x:v>
      </x:c>
      <x:c r="I14" s="59" t="str">
        <x:v>operation_log,rescue_clue</x:v>
      </x:c>
      <x:c r="J14" s="59" t="str">
        <x:v>待设计</x:v>
      </x:c>
      <x:c r="K14" s="59" t="str">
        <x:v>待编码</x:v>
      </x:c>
      <x:c r="L14" s="59" t="str">
        <x:v>未执行</x:v>
      </x:c>
      <x:c r="M14" s="59" t="str">
        <x:v>移动端 我的线索</x:v>
      </x:c>
      <x:c r="N14" s="60" t="str">
        <x:v>Frozen</x:v>
      </x:c>
    </x:row>
    <x:row r="15" ht="30" customHeight="1">
      <x:c r="A15" s="58" t="str">
        <x:v>M02-API-09</x:v>
      </x:c>
      <x:c r="B15" s="59" t="str">
        <x:v>M02</x:v>
      </x:c>
      <x:c r="C15" s="59" t="str">
        <x:v>GET</x:v>
      </x:c>
      <x:c r="D15" s="59" t="str">
        <x:v>/api/admin/rescue-clues</x:v>
      </x:c>
      <x:c r="E15" s="59" t="str">
        <x:v>ADMIN</x:v>
      </x:c>
      <x:c r="F15" s="59" t="str">
        <x:v>线索审核列表</x:v>
      </x:c>
      <x:c r="G15" s="59" t="str">
        <x:v>UC-02</x:v>
      </x:c>
      <x:c r="H15" s="59" t="str">
        <x:v>RTM-M02-07</x:v>
      </x:c>
      <x:c r="I15" s="59" t="str">
        <x:v>operation_log,rescue_clue</x:v>
      </x:c>
      <x:c r="J15" s="59" t="str">
        <x:v>待设计</x:v>
      </x:c>
      <x:c r="K15" s="59" t="str">
        <x:v>待编码</x:v>
      </x:c>
      <x:c r="L15" s="59" t="str">
        <x:v>未执行</x:v>
      </x:c>
      <x:c r="M15" s="59" t="str">
        <x:v>PC 线索审核</x:v>
      </x:c>
      <x:c r="N15" s="60" t="str">
        <x:v>Frozen</x:v>
      </x:c>
    </x:row>
    <x:row r="16" ht="30" customHeight="1">
      <x:c r="A16" s="58" t="str">
        <x:v>M02-API-10</x:v>
      </x:c>
      <x:c r="B16" s="59" t="str">
        <x:v>M02</x:v>
      </x:c>
      <x:c r="C16" s="59" t="str">
        <x:v>POST</x:v>
      </x:c>
      <x:c r="D16" s="59" t="str">
        <x:v>/api/admin/rescue-clues/{clueId}/audit</x:v>
      </x:c>
      <x:c r="E16" s="59" t="str">
        <x:v>ADMIN</x:v>
      </x:c>
      <x:c r="F16" s="59" t="str">
        <x:v>审核线索</x:v>
      </x:c>
      <x:c r="G16" s="59" t="str">
        <x:v>UC-02</x:v>
      </x:c>
      <x:c r="H16" s="59" t="str">
        <x:v>RTM-M02-07</x:v>
      </x:c>
      <x:c r="I16" s="59" t="str">
        <x:v>operation_log,rescue_clue</x:v>
      </x:c>
      <x:c r="J16" s="59" t="str">
        <x:v>待设计</x:v>
      </x:c>
      <x:c r="K16" s="59" t="str">
        <x:v>待编码</x:v>
      </x:c>
      <x:c r="L16" s="59" t="str">
        <x:v>未执行</x:v>
      </x:c>
      <x:c r="M16" s="59" t="str">
        <x:v>PC 线索审核</x:v>
      </x:c>
      <x:c r="N16" s="60" t="str">
        <x:v>Frozen</x:v>
      </x:c>
    </x:row>
    <x:row r="17" ht="30" customHeight="1">
      <x:c r="A17" s="58" t="str">
        <x:v>COMMON-MEDIA-01</x:v>
      </x:c>
      <x:c r="B17" s="59" t="str">
        <x:v>M02</x:v>
      </x:c>
      <x:c r="C17" s="59" t="str">
        <x:v>GET</x:v>
      </x:c>
      <x:c r="D17" s="59" t="str">
        <x:v>/api/media/rescue-clue-images/{imageId}</x:v>
      </x:c>
      <x:c r="E17" s="59" t="str">
        <x:v>按线索可见性</x:v>
      </x:c>
      <x:c r="F17" s="59" t="str">
        <x:v>读取线索图片</x:v>
      </x:c>
      <x:c r="G17" s="59" t="str">
        <x:v>—</x:v>
      </x:c>
      <x:c r="H17" s="59" t="str">
        <x:v>RTM-M02-03</x:v>
      </x:c>
      <x:c r="I17" s="59" t="str">
        <x:v>rescue_clue,rescue_clue_image,rescue_task</x:v>
      </x:c>
      <x:c r="J17" s="59" t="str">
        <x:v>待设计</x:v>
      </x:c>
      <x:c r="K17" s="59" t="str">
        <x:v>待编码</x:v>
      </x:c>
      <x:c r="L17" s="59" t="str">
        <x:v>未执行</x:v>
      </x:c>
      <x:c r="M17" s="59" t="str">
        <x:v>PC/移动端 图片</x:v>
      </x:c>
      <x:c r="N17" s="60" t="str">
        <x:v>Frozen</x:v>
      </x:c>
    </x:row>
    <x:row r="18" ht="30" customHeight="1">
      <x:c r="A18" s="58" t="str">
        <x:v>M03-API-01</x:v>
      </x:c>
      <x:c r="B18" s="59" t="str">
        <x:v>M03</x:v>
      </x:c>
      <x:c r="C18" s="59" t="str">
        <x:v>GET</x:v>
      </x:c>
      <x:c r="D18" s="59" t="str">
        <x:v>/api/rescue-clues/waiting-acceptance</x:v>
      </x:c>
      <x:c r="E18" s="59" t="str">
        <x:v>RESCUER</x:v>
      </x:c>
      <x:c r="F18" s="59" t="str">
        <x:v>待接取线索</x:v>
      </x:c>
      <x:c r="G18" s="59" t="str">
        <x:v>UC-03</x:v>
      </x:c>
      <x:c r="H18" s="59" t="str">
        <x:v>RTM-M03-01</x:v>
      </x:c>
      <x:c r="I18" s="59" t="str">
        <x:v>rescue_clue</x:v>
      </x:c>
      <x:c r="J18" s="59" t="str">
        <x:v>待设计</x:v>
      </x:c>
      <x:c r="K18" s="59" t="str">
        <x:v>待编码</x:v>
      </x:c>
      <x:c r="L18" s="59" t="str">
        <x:v>未执行</x:v>
      </x:c>
      <x:c r="M18" s="59" t="str">
        <x:v>移动端 救助任务</x:v>
      </x:c>
      <x:c r="N18" s="60" t="str">
        <x:v>Frozen</x:v>
      </x:c>
    </x:row>
    <x:row r="19" ht="30" customHeight="1">
      <x:c r="A19" s="58" t="str">
        <x:v>M03-API-02</x:v>
      </x:c>
      <x:c r="B19" s="59" t="str">
        <x:v>M03</x:v>
      </x:c>
      <x:c r="C19" s="59" t="str">
        <x:v>POST</x:v>
      </x:c>
      <x:c r="D19" s="59" t="str">
        <x:v>/api/rescue-clues/{clueId}/accept</x:v>
      </x:c>
      <x:c r="E19" s="59" t="str">
        <x:v>RESCUER</x:v>
      </x:c>
      <x:c r="F19" s="59" t="str">
        <x:v>接取线索</x:v>
      </x:c>
      <x:c r="G19" s="59" t="str">
        <x:v>UC-03</x:v>
      </x:c>
      <x:c r="H19" s="59" t="str">
        <x:v>RTM-M03-02</x:v>
      </x:c>
      <x:c r="I19" s="59" t="str">
        <x:v>operation_log,rescue_clue,rescue_task</x:v>
      </x:c>
      <x:c r="J19" s="59" t="str">
        <x:v>待设计</x:v>
      </x:c>
      <x:c r="K19" s="59" t="str">
        <x:v>待编码</x:v>
      </x:c>
      <x:c r="L19" s="59" t="str">
        <x:v>未执行</x:v>
      </x:c>
      <x:c r="M19" s="59" t="str">
        <x:v>移动端 接取</x:v>
      </x:c>
      <x:c r="N19" s="60" t="str">
        <x:v>Frozen</x:v>
      </x:c>
    </x:row>
    <x:row r="20" ht="30" customHeight="1">
      <x:c r="A20" s="58" t="str">
        <x:v>M03-API-03</x:v>
      </x:c>
      <x:c r="B20" s="59" t="str">
        <x:v>M03</x:v>
      </x:c>
      <x:c r="C20" s="59" t="str">
        <x:v>GET</x:v>
      </x:c>
      <x:c r="D20" s="59" t="str">
        <x:v>/api/rescue-tasks/me</x:v>
      </x:c>
      <x:c r="E20" s="59" t="str">
        <x:v>RESCUER</x:v>
      </x:c>
      <x:c r="F20" s="59" t="str">
        <x:v>我的救助任务</x:v>
      </x:c>
      <x:c r="G20" s="59" t="str">
        <x:v>UC-04</x:v>
      </x:c>
      <x:c r="H20" s="59" t="str">
        <x:v>RTM-M03-03</x:v>
      </x:c>
      <x:c r="I20" s="59" t="str">
        <x:v>rescue_clue,rescue_task</x:v>
      </x:c>
      <x:c r="J20" s="59" t="str">
        <x:v>待设计</x:v>
      </x:c>
      <x:c r="K20" s="59" t="str">
        <x:v>待编码</x:v>
      </x:c>
      <x:c r="L20" s="59" t="str">
        <x:v>未执行</x:v>
      </x:c>
      <x:c r="M20" s="59" t="str">
        <x:v>移动端/PC 任务</x:v>
      </x:c>
      <x:c r="N20" s="60" t="str">
        <x:v>Frozen</x:v>
      </x:c>
    </x:row>
    <x:row r="21" ht="30" customHeight="1">
      <x:c r="A21" s="58" t="str">
        <x:v>M03-API-04</x:v>
      </x:c>
      <x:c r="B21" s="59" t="str">
        <x:v>M03</x:v>
      </x:c>
      <x:c r="C21" s="59" t="str">
        <x:v>GET</x:v>
      </x:c>
      <x:c r="D21" s="59" t="str">
        <x:v>/api/rescue-tasks/{taskId}</x:v>
      </x:c>
      <x:c r="E21" s="59" t="str">
        <x:v>RESCUER/ADMIN按权限</x:v>
      </x:c>
      <x:c r="F21" s="59" t="str">
        <x:v>任务详情</x:v>
      </x:c>
      <x:c r="G21" s="59" t="str">
        <x:v>UC-04</x:v>
      </x:c>
      <x:c r="H21" s="59" t="str">
        <x:v>RTM-M03-03</x:v>
      </x:c>
      <x:c r="I21" s="59" t="str">
        <x:v>rescue_clue,rescue_task</x:v>
      </x:c>
      <x:c r="J21" s="59" t="str">
        <x:v>待设计</x:v>
      </x:c>
      <x:c r="K21" s="59" t="str">
        <x:v>待编码</x:v>
      </x:c>
      <x:c r="L21" s="59" t="str">
        <x:v>未执行</x:v>
      </x:c>
      <x:c r="M21" s="59" t="str">
        <x:v>移动端/PC 任务详情</x:v>
      </x:c>
      <x:c r="N21" s="60" t="str">
        <x:v>Frozen</x:v>
      </x:c>
    </x:row>
    <x:row r="22" ht="30" customHeight="1">
      <x:c r="A22" s="58" t="str">
        <x:v>M03-API-05</x:v>
      </x:c>
      <x:c r="B22" s="59" t="str">
        <x:v>M03</x:v>
      </x:c>
      <x:c r="C22" s="59" t="str">
        <x:v>POST</x:v>
      </x:c>
      <x:c r="D22" s="59" t="str">
        <x:v>/api/rescue-tasks/{taskId}/start</x:v>
      </x:c>
      <x:c r="E22" s="59" t="str">
        <x:v>负责人RESCUER</x:v>
      </x:c>
      <x:c r="F22" s="59" t="str">
        <x:v>开始救助</x:v>
      </x:c>
      <x:c r="G22" s="59" t="str">
        <x:v>UC-04</x:v>
      </x:c>
      <x:c r="H22" s="59" t="str">
        <x:v>RTM-M03-04</x:v>
      </x:c>
      <x:c r="I22" s="59" t="str">
        <x:v>operation_log,rescue_task</x:v>
      </x:c>
      <x:c r="J22" s="59" t="str">
        <x:v>待设计</x:v>
      </x:c>
      <x:c r="K22" s="59" t="str">
        <x:v>待编码</x:v>
      </x:c>
      <x:c r="L22" s="59" t="str">
        <x:v>未执行</x:v>
      </x:c>
      <x:c r="M22" s="59" t="str">
        <x:v>移动端 任务详情</x:v>
      </x:c>
      <x:c r="N22" s="60" t="str">
        <x:v>Frozen</x:v>
      </x:c>
    </x:row>
    <x:row r="23" ht="30" customHeight="1">
      <x:c r="A23" s="58" t="str">
        <x:v>M03-API-06</x:v>
      </x:c>
      <x:c r="B23" s="59" t="str">
        <x:v>M03</x:v>
      </x:c>
      <x:c r="C23" s="59" t="str">
        <x:v>POST</x:v>
      </x:c>
      <x:c r="D23" s="59" t="str">
        <x:v>/api/rescue-tasks/{taskId}/records</x:v>
      </x:c>
      <x:c r="E23" s="59" t="str">
        <x:v>负责人RESCUER</x:v>
      </x:c>
      <x:c r="F23" s="59" t="str">
        <x:v>追加救助记录</x:v>
      </x:c>
      <x:c r="G23" s="59" t="str">
        <x:v>UC-04</x:v>
      </x:c>
      <x:c r="H23" s="59" t="str">
        <x:v>RTM-M03-05</x:v>
      </x:c>
      <x:c r="I23" s="59" t="str">
        <x:v>rescue_record,rescue_task</x:v>
      </x:c>
      <x:c r="J23" s="59" t="str">
        <x:v>待设计</x:v>
      </x:c>
      <x:c r="K23" s="59" t="str">
        <x:v>待编码</x:v>
      </x:c>
      <x:c r="L23" s="59" t="str">
        <x:v>未执行</x:v>
      </x:c>
      <x:c r="M23" s="59" t="str">
        <x:v>移动端 追加记录</x:v>
      </x:c>
      <x:c r="N23" s="60" t="str">
        <x:v>Frozen</x:v>
      </x:c>
    </x:row>
    <x:row r="24" ht="30" customHeight="1">
      <x:c r="A24" s="58" t="str">
        <x:v>M03-API-07</x:v>
      </x:c>
      <x:c r="B24" s="59" t="str">
        <x:v>M03</x:v>
      </x:c>
      <x:c r="C24" s="59" t="str">
        <x:v>GET</x:v>
      </x:c>
      <x:c r="D24" s="59" t="str">
        <x:v>/api/rescue-tasks/{taskId}/records</x:v>
      </x:c>
      <x:c r="E24" s="59" t="str">
        <x:v>负责人RESCUER/ADMIN</x:v>
      </x:c>
      <x:c r="F24" s="59" t="str">
        <x:v>查看救助记录</x:v>
      </x:c>
      <x:c r="G24" s="59" t="str">
        <x:v>UC-04</x:v>
      </x:c>
      <x:c r="H24" s="59" t="str">
        <x:v>RTM-M03-06</x:v>
      </x:c>
      <x:c r="I24" s="59" t="str">
        <x:v>rescue_record,rescue_task</x:v>
      </x:c>
      <x:c r="J24" s="59" t="str">
        <x:v>待设计</x:v>
      </x:c>
      <x:c r="K24" s="59" t="str">
        <x:v>待编码</x:v>
      </x:c>
      <x:c r="L24" s="59" t="str">
        <x:v>未执行</x:v>
      </x:c>
      <x:c r="M24" s="59" t="str">
        <x:v>移动端/PC 任务详情</x:v>
      </x:c>
      <x:c r="N24" s="60" t="str">
        <x:v>Frozen</x:v>
      </x:c>
    </x:row>
    <x:row r="25" ht="30" customHeight="1">
      <x:c r="A25" s="58" t="str">
        <x:v>M03-API-08</x:v>
      </x:c>
      <x:c r="B25" s="59" t="str">
        <x:v>M03</x:v>
      </x:c>
      <x:c r="C25" s="59" t="str">
        <x:v>POST</x:v>
      </x:c>
      <x:c r="D25" s="59" t="str">
        <x:v>/api/rescue-tasks/{taskId}/result</x:v>
      </x:c>
      <x:c r="E25" s="59" t="str">
        <x:v>负责人RESCUER</x:v>
      </x:c>
      <x:c r="F25" s="59" t="str">
        <x:v>提交SUCCESS/FAILED</x:v>
      </x:c>
      <x:c r="G25" s="59" t="str">
        <x:v>UC-04</x:v>
      </x:c>
      <x:c r="H25" s="59" t="str">
        <x:v>RTM-M03-07；RTM-M03-08</x:v>
      </x:c>
      <x:c r="I25" s="59" t="str">
        <x:v>animal,animal_image,health_record,operation_log,rescue_clue,rescue_task</x:v>
      </x:c>
      <x:c r="J25" s="59" t="str">
        <x:v>待设计</x:v>
      </x:c>
      <x:c r="K25" s="59" t="str">
        <x:v>待编码</x:v>
      </x:c>
      <x:c r="L25" s="59" t="str">
        <x:v>未执行</x:v>
      </x:c>
      <x:c r="M25" s="59" t="str">
        <x:v>移动端 提交结果</x:v>
      </x:c>
      <x:c r="N25" s="60" t="str">
        <x:v>Frozen</x:v>
      </x:c>
    </x:row>
    <x:row r="26" ht="30" customHeight="1">
      <x:c r="A26" s="58" t="str">
        <x:v>M03-API-09</x:v>
      </x:c>
      <x:c r="B26" s="59" t="str">
        <x:v>M03</x:v>
      </x:c>
      <x:c r="C26" s="59" t="str">
        <x:v>POST</x:v>
      </x:c>
      <x:c r="D26" s="59" t="str">
        <x:v>/api/admin/rescue-tasks/{taskId}/cancel</x:v>
      </x:c>
      <x:c r="E26" s="59" t="str">
        <x:v>ADMIN</x:v>
      </x:c>
      <x:c r="F26" s="59" t="str">
        <x:v>取消异常任务</x:v>
      </x:c>
      <x:c r="G26" s="59" t="str">
        <x:v>—</x:v>
      </x:c>
      <x:c r="H26" s="59" t="str">
        <x:v>RTM-M03-09</x:v>
      </x:c>
      <x:c r="I26" s="59" t="str">
        <x:v>operation_log,rescue_clue,rescue_task</x:v>
      </x:c>
      <x:c r="J26" s="59" t="str">
        <x:v>待设计</x:v>
      </x:c>
      <x:c r="K26" s="59" t="str">
        <x:v>待编码</x:v>
      </x:c>
      <x:c r="L26" s="59" t="str">
        <x:v>未执行</x:v>
      </x:c>
      <x:c r="M26" s="59" t="str">
        <x:v>PC 救助任务</x:v>
      </x:c>
      <x:c r="N26" s="60" t="str">
        <x:v>Frozen</x:v>
      </x:c>
    </x:row>
    <x:row r="27" ht="30" customHeight="1">
      <x:c r="A27" s="58" t="str">
        <x:v>M03-API-10</x:v>
      </x:c>
      <x:c r="B27" s="59" t="str">
        <x:v>M03</x:v>
      </x:c>
      <x:c r="C27" s="59" t="str">
        <x:v>POST</x:v>
      </x:c>
      <x:c r="D27" s="59" t="str">
        <x:v>/api/admin/rescue-tasks/{taskId}/failure-resolution</x:v>
      </x:c>
      <x:c r="E27" s="59" t="str">
        <x:v>ADMIN</x:v>
      </x:c>
      <x:c r="F27" s="59" t="str">
        <x:v>FAILED后REOPEN/CLOSE</x:v>
      </x:c>
      <x:c r="G27" s="59" t="str">
        <x:v>—</x:v>
      </x:c>
      <x:c r="H27" s="59" t="str">
        <x:v>RTM-M03-10</x:v>
      </x:c>
      <x:c r="I27" s="59" t="str">
        <x:v>operation_log,rescue_clue,rescue_task</x:v>
      </x:c>
      <x:c r="J27" s="59" t="str">
        <x:v>待设计</x:v>
      </x:c>
      <x:c r="K27" s="59" t="str">
        <x:v>待编码</x:v>
      </x:c>
      <x:c r="L27" s="59" t="str">
        <x:v>未执行</x:v>
      </x:c>
      <x:c r="M27" s="59" t="str">
        <x:v>PC 救助任务</x:v>
      </x:c>
      <x:c r="N27" s="60" t="str">
        <x:v>Frozen</x:v>
      </x:c>
    </x:row>
    <x:row r="28" ht="30" customHeight="1">
      <x:c r="A28" s="58" t="str">
        <x:v>M04-API-01</x:v>
      </x:c>
      <x:c r="B28" s="59" t="str">
        <x:v>M04</x:v>
      </x:c>
      <x:c r="C28" s="59" t="str">
        <x:v>GET</x:v>
      </x:c>
      <x:c r="D28" s="59" t="str">
        <x:v>/api/animals</x:v>
      </x:c>
      <x:c r="E28" s="59" t="str">
        <x:v>permitAll</x:v>
      </x:c>
      <x:c r="F28" s="59" t="str">
        <x:v>AVAILABLE动物列表</x:v>
      </x:c>
      <x:c r="G28" s="59" t="str">
        <x:v>—</x:v>
      </x:c>
      <x:c r="H28" s="59" t="str">
        <x:v>RTM-M04-01</x:v>
      </x:c>
      <x:c r="I28" s="59" t="str">
        <x:v>animal</x:v>
      </x:c>
      <x:c r="J28" s="59" t="str">
        <x:v>待设计</x:v>
      </x:c>
      <x:c r="K28" s="59" t="str">
        <x:v>待编码</x:v>
      </x:c>
      <x:c r="L28" s="59" t="str">
        <x:v>未执行</x:v>
      </x:c>
      <x:c r="M28" s="59" t="str">
        <x:v>移动端 首页</x:v>
      </x:c>
      <x:c r="N28" s="60" t="str">
        <x:v>Frozen</x:v>
      </x:c>
    </x:row>
    <x:row r="29" ht="30" customHeight="1">
      <x:c r="A29" s="58" t="str">
        <x:v>M04-API-02</x:v>
      </x:c>
      <x:c r="B29" s="59" t="str">
        <x:v>M04</x:v>
      </x:c>
      <x:c r="C29" s="59" t="str">
        <x:v>GET</x:v>
      </x:c>
      <x:c r="D29" s="59" t="str">
        <x:v>/api/animals/{animalId}</x:v>
      </x:c>
      <x:c r="E29" s="59" t="str">
        <x:v>按角色可见性</x:v>
      </x:c>
      <x:c r="F29" s="59" t="str">
        <x:v>动物详情</x:v>
      </x:c>
      <x:c r="G29" s="59" t="str">
        <x:v>—</x:v>
      </x:c>
      <x:c r="H29" s="59" t="str">
        <x:v>RTM-M04-02</x:v>
      </x:c>
      <x:c r="I29" s="59" t="str">
        <x:v>animal,animal_image,rescue_task</x:v>
      </x:c>
      <x:c r="J29" s="59" t="str">
        <x:v>待设计</x:v>
      </x:c>
      <x:c r="K29" s="59" t="str">
        <x:v>待编码</x:v>
      </x:c>
      <x:c r="L29" s="59" t="str">
        <x:v>未执行</x:v>
      </x:c>
      <x:c r="M29" s="59" t="str">
        <x:v>移动端 动物详情</x:v>
      </x:c>
      <x:c r="N29" s="60" t="str">
        <x:v>Frozen</x:v>
      </x:c>
    </x:row>
    <x:row r="30" ht="30" customHeight="1">
      <x:c r="A30" s="58" t="str">
        <x:v>M04-API-03</x:v>
      </x:c>
      <x:c r="B30" s="59" t="str">
        <x:v>M04</x:v>
      </x:c>
      <x:c r="C30" s="59" t="str">
        <x:v>GET</x:v>
      </x:c>
      <x:c r="D30" s="59" t="str">
        <x:v>/api/animals/responsible/me</x:v>
      </x:c>
      <x:c r="E30" s="59" t="str">
        <x:v>RESCUER</x:v>
      </x:c>
      <x:c r="F30" s="59" t="str">
        <x:v>我负责的动物</x:v>
      </x:c>
      <x:c r="G30" s="59" t="str">
        <x:v>—</x:v>
      </x:c>
      <x:c r="H30" s="59" t="str">
        <x:v>RTM-M04-03</x:v>
      </x:c>
      <x:c r="I30" s="59" t="str">
        <x:v>animal,rescue_task</x:v>
      </x:c>
      <x:c r="J30" s="59" t="str">
        <x:v>待设计</x:v>
      </x:c>
      <x:c r="K30" s="59" t="str">
        <x:v>待编码</x:v>
      </x:c>
      <x:c r="L30" s="59" t="str">
        <x:v>未执行</x:v>
      </x:c>
      <x:c r="M30" s="59" t="str">
        <x:v>移动端/PC 负责动物</x:v>
      </x:c>
      <x:c r="N30" s="60" t="str">
        <x:v>Frozen</x:v>
      </x:c>
    </x:row>
    <x:row r="31" ht="30" customHeight="1">
      <x:c r="A31" s="58" t="str">
        <x:v>M04-API-04</x:v>
      </x:c>
      <x:c r="B31" s="59" t="str">
        <x:v>M04</x:v>
      </x:c>
      <x:c r="C31" s="59" t="str">
        <x:v>PATCH</x:v>
      </x:c>
      <x:c r="D31" s="59" t="str">
        <x:v>/api/animals/{animalId}</x:v>
      </x:c>
      <x:c r="E31" s="59" t="str">
        <x:v>负责人RESCUER/ADMIN</x:v>
      </x:c>
      <x:c r="F31" s="59" t="str">
        <x:v>编辑动物资料</x:v>
      </x:c>
      <x:c r="G31" s="59" t="str">
        <x:v>—</x:v>
      </x:c>
      <x:c r="H31" s="59" t="str">
        <x:v>RTM-M04-04</x:v>
      </x:c>
      <x:c r="I31" s="59" t="str">
        <x:v>animal</x:v>
      </x:c>
      <x:c r="J31" s="59" t="str">
        <x:v>待设计</x:v>
      </x:c>
      <x:c r="K31" s="59" t="str">
        <x:v>待编码</x:v>
      </x:c>
      <x:c r="L31" s="59" t="str">
        <x:v>未执行</x:v>
      </x:c>
      <x:c r="M31" s="59" t="str">
        <x:v>PC/移动端 档案管理</x:v>
      </x:c>
      <x:c r="N31" s="60" t="str">
        <x:v>Frozen</x:v>
      </x:c>
    </x:row>
    <x:row r="32" ht="30" customHeight="1">
      <x:c r="A32" s="58" t="str">
        <x:v>M04-API-05</x:v>
      </x:c>
      <x:c r="B32" s="59" t="str">
        <x:v>M04</x:v>
      </x:c>
      <x:c r="C32" s="59" t="str">
        <x:v>POST</x:v>
      </x:c>
      <x:c r="D32" s="59" t="str">
        <x:v>/api/animals/{animalId}/images</x:v>
      </x:c>
      <x:c r="E32" s="59" t="str">
        <x:v>负责人RESCUER/ADMIN</x:v>
      </x:c>
      <x:c r="F32" s="59" t="str">
        <x:v>追加动物图片</x:v>
      </x:c>
      <x:c r="G32" s="59" t="str">
        <x:v>—</x:v>
      </x:c>
      <x:c r="H32" s="59" t="str">
        <x:v>RTM-M04-05</x:v>
      </x:c>
      <x:c r="I32" s="59" t="str">
        <x:v>animal,animal_image,temporary_file</x:v>
      </x:c>
      <x:c r="J32" s="59" t="str">
        <x:v>待设计</x:v>
      </x:c>
      <x:c r="K32" s="59" t="str">
        <x:v>待编码</x:v>
      </x:c>
      <x:c r="L32" s="59" t="str">
        <x:v>未执行</x:v>
      </x:c>
      <x:c r="M32" s="59" t="str">
        <x:v>PC/移动端 档案管理</x:v>
      </x:c>
      <x:c r="N32" s="60" t="str">
        <x:v>Frozen</x:v>
      </x:c>
    </x:row>
    <x:row r="33" ht="30" customHeight="1">
      <x:c r="A33" s="58" t="str">
        <x:v>M04-API-06</x:v>
      </x:c>
      <x:c r="B33" s="59" t="str">
        <x:v>M04</x:v>
      </x:c>
      <x:c r="C33" s="59" t="str">
        <x:v>DELETE</x:v>
      </x:c>
      <x:c r="D33" s="59" t="str">
        <x:v>/api/animals/{animalId}/images/{imageId}</x:v>
      </x:c>
      <x:c r="E33" s="59" t="str">
        <x:v>负责人RESCUER/ADMIN</x:v>
      </x:c>
      <x:c r="F33" s="59" t="str">
        <x:v>删除动物图片</x:v>
      </x:c>
      <x:c r="G33" s="59" t="str">
        <x:v>—</x:v>
      </x:c>
      <x:c r="H33" s="59" t="str">
        <x:v>RTM-M04-05</x:v>
      </x:c>
      <x:c r="I33" s="59" t="str">
        <x:v>animal,animal_image,temporary_file</x:v>
      </x:c>
      <x:c r="J33" s="59" t="str">
        <x:v>待设计</x:v>
      </x:c>
      <x:c r="K33" s="59" t="str">
        <x:v>待编码</x:v>
      </x:c>
      <x:c r="L33" s="59" t="str">
        <x:v>未执行</x:v>
      </x:c>
      <x:c r="M33" s="59" t="str">
        <x:v>PC/移动端 档案管理</x:v>
      </x:c>
      <x:c r="N33" s="60" t="str">
        <x:v>Frozen</x:v>
      </x:c>
    </x:row>
    <x:row r="34" ht="30" customHeight="1">
      <x:c r="A34" s="58" t="str">
        <x:v>M04-API-08</x:v>
      </x:c>
      <x:c r="B34" s="59" t="str">
        <x:v>M04</x:v>
      </x:c>
      <x:c r="C34" s="59" t="str">
        <x:v>GET</x:v>
      </x:c>
      <x:c r="D34" s="59" t="str">
        <x:v>/api/animals/{animalId}/health-records</x:v>
      </x:c>
      <x:c r="E34" s="59" t="str">
        <x:v>按动物可见性</x:v>
      </x:c>
      <x:c r="F34" s="59" t="str">
        <x:v>健康记录列表</x:v>
      </x:c>
      <x:c r="G34" s="59" t="str">
        <x:v>—</x:v>
      </x:c>
      <x:c r="H34" s="59" t="str">
        <x:v>RTM-M04-07</x:v>
      </x:c>
      <x:c r="I34" s="59" t="str">
        <x:v>animal,health_record,rescue_task</x:v>
      </x:c>
      <x:c r="J34" s="59" t="str">
        <x:v>待设计</x:v>
      </x:c>
      <x:c r="K34" s="59" t="str">
        <x:v>待编码</x:v>
      </x:c>
      <x:c r="L34" s="59" t="str">
        <x:v>未执行</x:v>
      </x:c>
      <x:c r="M34" s="59" t="str">
        <x:v>PC/移动端 动物详情/管理</x:v>
      </x:c>
      <x:c r="N34" s="60" t="str">
        <x:v>Frozen</x:v>
      </x:c>
    </x:row>
    <x:row r="35" ht="30" customHeight="1">
      <x:c r="A35" s="58" t="str">
        <x:v>M04-API-07</x:v>
      </x:c>
      <x:c r="B35" s="59" t="str">
        <x:v>M04</x:v>
      </x:c>
      <x:c r="C35" s="59" t="str">
        <x:v>POST</x:v>
      </x:c>
      <x:c r="D35" s="59" t="str">
        <x:v>/api/animals/{animalId}/health-records</x:v>
      </x:c>
      <x:c r="E35" s="59" t="str">
        <x:v>负责人RESCUER/ADMIN</x:v>
      </x:c>
      <x:c r="F35" s="59" t="str">
        <x:v>追加健康记录</x:v>
      </x:c>
      <x:c r="G35" s="59" t="str">
        <x:v>—</x:v>
      </x:c>
      <x:c r="H35" s="59" t="str">
        <x:v>RTM-M04-06</x:v>
      </x:c>
      <x:c r="I35" s="59" t="str">
        <x:v>animal,health_record,rescue_task</x:v>
      </x:c>
      <x:c r="J35" s="59" t="str">
        <x:v>待设计</x:v>
      </x:c>
      <x:c r="K35" s="59" t="str">
        <x:v>待编码</x:v>
      </x:c>
      <x:c r="L35" s="59" t="str">
        <x:v>未执行</x:v>
      </x:c>
      <x:c r="M35" s="59" t="str">
        <x:v>PC/移动端 档案管理</x:v>
      </x:c>
      <x:c r="N35" s="60" t="str">
        <x:v>Frozen</x:v>
      </x:c>
    </x:row>
    <x:row r="36" ht="30" customHeight="1">
      <x:c r="A36" s="58" t="str">
        <x:v>COMMON-MEDIA-02</x:v>
      </x:c>
      <x:c r="B36" s="59" t="str">
        <x:v>M04</x:v>
      </x:c>
      <x:c r="C36" s="59" t="str">
        <x:v>GET</x:v>
      </x:c>
      <x:c r="D36" s="59" t="str">
        <x:v>/api/media/animal-images/{imageId}</x:v>
      </x:c>
      <x:c r="E36" s="59" t="str">
        <x:v>按媒体可见性</x:v>
      </x:c>
      <x:c r="F36" s="59" t="str">
        <x:v>读取动物图片</x:v>
      </x:c>
      <x:c r="G36" s="59" t="str">
        <x:v>—</x:v>
      </x:c>
      <x:c r="H36" s="59" t="str">
        <x:v>RTM-M04-02</x:v>
      </x:c>
      <x:c r="I36" s="59" t="str">
        <x:v>animal,animal_image,rescue_task</x:v>
      </x:c>
      <x:c r="J36" s="59" t="str">
        <x:v>待设计</x:v>
      </x:c>
      <x:c r="K36" s="59" t="str">
        <x:v>待编码</x:v>
      </x:c>
      <x:c r="L36" s="59" t="str">
        <x:v>未执行</x:v>
      </x:c>
      <x:c r="M36" s="59" t="str">
        <x:v>PC/移动端 图片</x:v>
      </x:c>
      <x:c r="N36" s="60" t="str">
        <x:v>Frozen</x:v>
      </x:c>
    </x:row>
    <x:row r="37" ht="30" customHeight="1">
      <x:c r="A37" s="58" t="str">
        <x:v>M04-API-09</x:v>
      </x:c>
      <x:c r="B37" s="59" t="str">
        <x:v>M04</x:v>
      </x:c>
      <x:c r="C37" s="59" t="str">
        <x:v>POST</x:v>
      </x:c>
      <x:c r="D37" s="59" t="str">
        <x:v>/api/animals/{animalId}/status-actions</x:v>
      </x:c>
      <x:c r="E37" s="59" t="str">
        <x:v>负责人RESCUER/ADMIN</x:v>
      </x:c>
      <x:c r="F37" s="59" t="str">
        <x:v>动物状态操作</x:v>
      </x:c>
      <x:c r="G37" s="59" t="str">
        <x:v>—</x:v>
      </x:c>
      <x:c r="H37" s="59" t="str">
        <x:v>RTM-M04-08</x:v>
      </x:c>
      <x:c r="I37" s="59" t="str">
        <x:v>animal,operation_log</x:v>
      </x:c>
      <x:c r="J37" s="59" t="str">
        <x:v>待设计</x:v>
      </x:c>
      <x:c r="K37" s="59" t="str">
        <x:v>待编码</x:v>
      </x:c>
      <x:c r="L37" s="59" t="str">
        <x:v>未执行</x:v>
      </x:c>
      <x:c r="M37" s="59" t="str">
        <x:v>PC/移动端 档案管理</x:v>
      </x:c>
      <x:c r="N37" s="60" t="str">
        <x:v>Frozen</x:v>
      </x:c>
    </x:row>
    <x:row r="38" ht="30" customHeight="1">
      <x:c r="A38" s="58" t="str">
        <x:v>M05-API-01</x:v>
      </x:c>
      <x:c r="B38" s="59" t="str">
        <x:v>M05</x:v>
      </x:c>
      <x:c r="C38" s="59" t="str">
        <x:v>POST</x:v>
      </x:c>
      <x:c r="D38" s="59" t="str">
        <x:v>/api/animals/{animalId}/adoption-applications</x:v>
      </x:c>
      <x:c r="E38" s="59" t="str">
        <x:v>USER/RESCUER</x:v>
      </x:c>
      <x:c r="F38" s="59" t="str">
        <x:v>提交领养申请</x:v>
      </x:c>
      <x:c r="G38" s="59" t="str">
        <x:v>UC-05</x:v>
      </x:c>
      <x:c r="H38" s="59" t="str">
        <x:v>RTM-M05-01</x:v>
      </x:c>
      <x:c r="I38" s="59" t="str">
        <x:v>adoption_application,animal,operation_log</x:v>
      </x:c>
      <x:c r="J38" s="59" t="str">
        <x:v>待设计</x:v>
      </x:c>
      <x:c r="K38" s="59" t="str">
        <x:v>待编码</x:v>
      </x:c>
      <x:c r="L38" s="59" t="str">
        <x:v>未执行</x:v>
      </x:c>
      <x:c r="M38" s="59" t="str">
        <x:v>移动端 申请领养</x:v>
      </x:c>
      <x:c r="N38" s="60" t="str">
        <x:v>Frozen</x:v>
      </x:c>
    </x:row>
    <x:row r="39" ht="30" customHeight="1">
      <x:c r="A39" s="58" t="str">
        <x:v>M05-API-02</x:v>
      </x:c>
      <x:c r="B39" s="59" t="str">
        <x:v>M05</x:v>
      </x:c>
      <x:c r="C39" s="59" t="str">
        <x:v>GET</x:v>
      </x:c>
      <x:c r="D39" s="59" t="str">
        <x:v>/api/adoption-applications/me</x:v>
      </x:c>
      <x:c r="E39" s="59" t="str">
        <x:v>USER/RESCUER</x:v>
      </x:c>
      <x:c r="F39" s="59" t="str">
        <x:v>我的领养申请</x:v>
      </x:c>
      <x:c r="G39" s="59" t="str">
        <x:v>UC-05</x:v>
      </x:c>
      <x:c r="H39" s="59" t="str">
        <x:v>RTM-M05-02</x:v>
      </x:c>
      <x:c r="I39" s="59" t="str">
        <x:v>adoption_application</x:v>
      </x:c>
      <x:c r="J39" s="59" t="str">
        <x:v>待设计</x:v>
      </x:c>
      <x:c r="K39" s="59" t="str">
        <x:v>待编码</x:v>
      </x:c>
      <x:c r="L39" s="59" t="str">
        <x:v>未执行</x:v>
      </x:c>
      <x:c r="M39" s="59" t="str">
        <x:v>移动端 我的申请</x:v>
      </x:c>
      <x:c r="N39" s="60" t="str">
        <x:v>Frozen</x:v>
      </x:c>
    </x:row>
    <x:row r="40" ht="30" customHeight="1">
      <x:c r="A40" s="58" t="str">
        <x:v>M05-API-03</x:v>
      </x:c>
      <x:c r="B40" s="59" t="str">
        <x:v>M05</x:v>
      </x:c>
      <x:c r="C40" s="59" t="str">
        <x:v>GET</x:v>
      </x:c>
      <x:c r="D40" s="59" t="str">
        <x:v>/api/adoption-applications/{applicationId}</x:v>
      </x:c>
      <x:c r="E40" s="59" t="str">
        <x:v>申请人/ADMIN</x:v>
      </x:c>
      <x:c r="F40" s="59" t="str">
        <x:v>申请详情</x:v>
      </x:c>
      <x:c r="G40" s="59" t="str">
        <x:v>UC-05</x:v>
      </x:c>
      <x:c r="H40" s="59" t="str">
        <x:v>RTM-M05-02</x:v>
      </x:c>
      <x:c r="I40" s="59" t="str">
        <x:v>adoption_application</x:v>
      </x:c>
      <x:c r="J40" s="59" t="str">
        <x:v>待设计</x:v>
      </x:c>
      <x:c r="K40" s="59" t="str">
        <x:v>待编码</x:v>
      </x:c>
      <x:c r="L40" s="59" t="str">
        <x:v>未执行</x:v>
      </x:c>
      <x:c r="M40" s="59" t="str">
        <x:v>移动端/PC 申请详情</x:v>
      </x:c>
      <x:c r="N40" s="60" t="str">
        <x:v>Frozen</x:v>
      </x:c>
    </x:row>
    <x:row r="41" ht="30" customHeight="1">
      <x:c r="A41" s="58" t="str">
        <x:v>M05-API-04</x:v>
      </x:c>
      <x:c r="B41" s="59" t="str">
        <x:v>M05</x:v>
      </x:c>
      <x:c r="C41" s="59" t="str">
        <x:v>POST</x:v>
      </x:c>
      <x:c r="D41" s="59" t="str">
        <x:v>/api/adoption-applications/{applicationId}/withdraw</x:v>
      </x:c>
      <x:c r="E41" s="59" t="str">
        <x:v>申请人</x:v>
      </x:c>
      <x:c r="F41" s="59" t="str">
        <x:v>撤回申请</x:v>
      </x:c>
      <x:c r="G41" s="59" t="str">
        <x:v>UC-05</x:v>
      </x:c>
      <x:c r="H41" s="59" t="str">
        <x:v>RTM-M05-03</x:v>
      </x:c>
      <x:c r="I41" s="59" t="str">
        <x:v>adoption_application,operation_log</x:v>
      </x:c>
      <x:c r="J41" s="59" t="str">
        <x:v>待设计</x:v>
      </x:c>
      <x:c r="K41" s="59" t="str">
        <x:v>待编码</x:v>
      </x:c>
      <x:c r="L41" s="59" t="str">
        <x:v>未执行</x:v>
      </x:c>
      <x:c r="M41" s="59" t="str">
        <x:v>移动端 我的申请</x:v>
      </x:c>
      <x:c r="N41" s="60" t="str">
        <x:v>Frozen</x:v>
      </x:c>
    </x:row>
    <x:row r="42" ht="30" customHeight="1">
      <x:c r="A42" s="58" t="str">
        <x:v>M05-API-05</x:v>
      </x:c>
      <x:c r="B42" s="59" t="str">
        <x:v>M05</x:v>
      </x:c>
      <x:c r="C42" s="59" t="str">
        <x:v>GET</x:v>
      </x:c>
      <x:c r="D42" s="59" t="str">
        <x:v>/api/admin/adoption-applications</x:v>
      </x:c>
      <x:c r="E42" s="59" t="str">
        <x:v>ADMIN</x:v>
      </x:c>
      <x:c r="F42" s="59" t="str">
        <x:v>待审核申请列表</x:v>
      </x:c>
      <x:c r="G42" s="59" t="str">
        <x:v>UC-06</x:v>
      </x:c>
      <x:c r="H42" s="59" t="str">
        <x:v>RTM-M05-04</x:v>
      </x:c>
      <x:c r="I42" s="59" t="str">
        <x:v>adoption_application,adoption_record,animal,operation_log</x:v>
      </x:c>
      <x:c r="J42" s="59" t="str">
        <x:v>待设计</x:v>
      </x:c>
      <x:c r="K42" s="59" t="str">
        <x:v>待编码</x:v>
      </x:c>
      <x:c r="L42" s="59" t="str">
        <x:v>未执行</x:v>
      </x:c>
      <x:c r="M42" s="59" t="str">
        <x:v>PC 领养审核</x:v>
      </x:c>
      <x:c r="N42" s="60" t="str">
        <x:v>Frozen</x:v>
      </x:c>
    </x:row>
    <x:row r="43" ht="30" customHeight="1">
      <x:c r="A43" s="58" t="str">
        <x:v>M05-API-06</x:v>
      </x:c>
      <x:c r="B43" s="59" t="str">
        <x:v>M05</x:v>
      </x:c>
      <x:c r="C43" s="59" t="str">
        <x:v>POST</x:v>
      </x:c>
      <x:c r="D43" s="59" t="str">
        <x:v>/api/admin/adoption-applications/{applicationId}/audit</x:v>
      </x:c>
      <x:c r="E43" s="59" t="str">
        <x:v>ADMIN</x:v>
      </x:c>
      <x:c r="F43" s="59" t="str">
        <x:v>审核领养申请</x:v>
      </x:c>
      <x:c r="G43" s="59" t="str">
        <x:v>UC-06</x:v>
      </x:c>
      <x:c r="H43" s="59" t="str">
        <x:v>RTM-M05-04；RTM-M05-05</x:v>
      </x:c>
      <x:c r="I43" s="59" t="str">
        <x:v>adoption_application,adoption_record,animal,operation_log</x:v>
      </x:c>
      <x:c r="J43" s="59" t="str">
        <x:v>待设计</x:v>
      </x:c>
      <x:c r="K43" s="59" t="str">
        <x:v>待编码</x:v>
      </x:c>
      <x:c r="L43" s="59" t="str">
        <x:v>未执行</x:v>
      </x:c>
      <x:c r="M43" s="59" t="str">
        <x:v>PC 领养审核</x:v>
      </x:c>
      <x:c r="N43" s="60" t="str">
        <x:v>Frozen</x:v>
      </x:c>
    </x:row>
    <x:row r="44" ht="30" customHeight="1">
      <x:c r="A44" s="58" t="str">
        <x:v>M05-API-07</x:v>
      </x:c>
      <x:c r="B44" s="59" t="str">
        <x:v>M05</x:v>
      </x:c>
      <x:c r="C44" s="59" t="str">
        <x:v>GET</x:v>
      </x:c>
      <x:c r="D44" s="59" t="str">
        <x:v>/api/adoption-records/me</x:v>
      </x:c>
      <x:c r="E44" s="59" t="str">
        <x:v>USER/RESCUER</x:v>
      </x:c>
      <x:c r="F44" s="59" t="str">
        <x:v>我的领养记录</x:v>
      </x:c>
      <x:c r="G44" s="59" t="str">
        <x:v>—</x:v>
      </x:c>
      <x:c r="H44" s="59" t="str">
        <x:v>RTM-M05-06</x:v>
      </x:c>
      <x:c r="I44" s="59" t="str">
        <x:v>adoption_record</x:v>
      </x:c>
      <x:c r="J44" s="59" t="str">
        <x:v>待设计</x:v>
      </x:c>
      <x:c r="K44" s="59" t="str">
        <x:v>待编码</x:v>
      </x:c>
      <x:c r="L44" s="59" t="str">
        <x:v>未执行</x:v>
      </x:c>
      <x:c r="M44" s="59" t="str">
        <x:v>移动端 我的领养</x:v>
      </x:c>
      <x:c r="N44" s="60" t="str">
        <x:v>Frozen</x:v>
      </x:c>
    </x:row>
    <x:row r="45" ht="30" customHeight="1">
      <x:c r="A45" s="58" t="str">
        <x:v>M05-API-08</x:v>
      </x:c>
      <x:c r="B45" s="59" t="str">
        <x:v>M05</x:v>
      </x:c>
      <x:c r="C45" s="59" t="str">
        <x:v>GET</x:v>
      </x:c>
      <x:c r="D45" s="59" t="str">
        <x:v>/api/adoption-records/{recordId}</x:v>
      </x:c>
      <x:c r="E45" s="59" t="str">
        <x:v>领养人/ADMIN</x:v>
      </x:c>
      <x:c r="F45" s="59" t="str">
        <x:v>领养记录详情</x:v>
      </x:c>
      <x:c r="G45" s="59" t="str">
        <x:v>—</x:v>
      </x:c>
      <x:c r="H45" s="59" t="str">
        <x:v>RTM-M05-06</x:v>
      </x:c>
      <x:c r="I45" s="59" t="str">
        <x:v>adoption_record</x:v>
      </x:c>
      <x:c r="J45" s="59" t="str">
        <x:v>待设计</x:v>
      </x:c>
      <x:c r="K45" s="59" t="str">
        <x:v>待编码</x:v>
      </x:c>
      <x:c r="L45" s="59" t="str">
        <x:v>未执行</x:v>
      </x:c>
      <x:c r="M45" s="59" t="str">
        <x:v>移动端/PC 领养记录</x:v>
      </x:c>
      <x:c r="N45" s="60" t="str">
        <x:v>Frozen</x:v>
      </x:c>
    </x:row>
    <x:row r="46" ht="30" customHeight="1">
      <x:c r="A46" s="58" t="str">
        <x:v>M05-API-09</x:v>
      </x:c>
      <x:c r="B46" s="59" t="str">
        <x:v>M05</x:v>
      </x:c>
      <x:c r="C46" s="59" t="str">
        <x:v>GET</x:v>
      </x:c>
      <x:c r="D46" s="59" t="str">
        <x:v>/api/animals/{animalId}/adoption-overview</x:v>
      </x:c>
      <x:c r="E46" s="59" t="str">
        <x:v>负责RESCUER</x:v>
      </x:c>
      <x:c r="F46" s="59" t="str">
        <x:v>负责动物领养概览</x:v>
      </x:c>
      <x:c r="G46" s="59" t="str">
        <x:v>—</x:v>
      </x:c>
      <x:c r="H46" s="59" t="str">
        <x:v>RTM-M05-07</x:v>
      </x:c>
      <x:c r="I46" s="59" t="str">
        <x:v>adoption_application,adoption_record,rescue_task</x:v>
      </x:c>
      <x:c r="J46" s="59" t="str">
        <x:v>待设计</x:v>
      </x:c>
      <x:c r="K46" s="59" t="str">
        <x:v>待编码</x:v>
      </x:c>
      <x:c r="L46" s="59" t="str">
        <x:v>未执行</x:v>
      </x:c>
      <x:c r="M46" s="59" t="str">
        <x:v>移动端/PC 领养概览</x:v>
      </x:c>
      <x:c r="N46" s="60" t="str">
        <x:v>Frozen</x:v>
      </x:c>
    </x:row>
    <x:row r="47" ht="30" customHeight="1">
      <x:c r="A47" s="58" t="str">
        <x:v>M06-API-01</x:v>
      </x:c>
      <x:c r="B47" s="59" t="str">
        <x:v>M06</x:v>
      </x:c>
      <x:c r="C47" s="59" t="str">
        <x:v>POST</x:v>
      </x:c>
      <x:c r="D47" s="59" t="str">
        <x:v>/api/adoption-records/{recordId}/follow-ups</x:v>
      </x:c>
      <x:c r="E47" s="59" t="str">
        <x:v>最终领养人</x:v>
      </x:c>
      <x:c r="F47" s="59" t="str">
        <x:v>提交回访</x:v>
      </x:c>
      <x:c r="G47" s="59" t="str">
        <x:v>UC-07</x:v>
      </x:c>
      <x:c r="H47" s="59" t="str">
        <x:v>RTM-M06-01</x:v>
      </x:c>
      <x:c r="I47" s="59" t="str">
        <x:v>adoption_record,follow_up_image,follow_up_record,temporary_file</x:v>
      </x:c>
      <x:c r="J47" s="59" t="str">
        <x:v>待设计</x:v>
      </x:c>
      <x:c r="K47" s="59" t="str">
        <x:v>待编码</x:v>
      </x:c>
      <x:c r="L47" s="59" t="str">
        <x:v>未执行</x:v>
      </x:c>
      <x:c r="M47" s="59" t="str">
        <x:v>移动端 提交回访</x:v>
      </x:c>
      <x:c r="N47" s="60" t="str">
        <x:v>Frozen</x:v>
      </x:c>
    </x:row>
    <x:row r="48" ht="30" customHeight="1">
      <x:c r="A48" s="58" t="str">
        <x:v>M06-API-02</x:v>
      </x:c>
      <x:c r="B48" s="59" t="str">
        <x:v>M06</x:v>
      </x:c>
      <x:c r="C48" s="59" t="str">
        <x:v>GET</x:v>
      </x:c>
      <x:c r="D48" s="59" t="str">
        <x:v>/api/adoption-records/{recordId}/follow-ups</x:v>
      </x:c>
      <x:c r="E48" s="59" t="str">
        <x:v>领养人/负责RESCUER/ADMIN</x:v>
      </x:c>
      <x:c r="F48" s="59" t="str">
        <x:v>历史回访</x:v>
      </x:c>
      <x:c r="G48" s="59" t="str">
        <x:v>UC-07</x:v>
      </x:c>
      <x:c r="H48" s="59" t="str">
        <x:v>RTM-M06-02</x:v>
      </x:c>
      <x:c r="I48" s="59" t="str">
        <x:v>adoption_record,follow_up_image,follow_up_record</x:v>
      </x:c>
      <x:c r="J48" s="59" t="str">
        <x:v>待设计</x:v>
      </x:c>
      <x:c r="K48" s="59" t="str">
        <x:v>待编码</x:v>
      </x:c>
      <x:c r="L48" s="59" t="str">
        <x:v>未执行</x:v>
      </x:c>
      <x:c r="M48" s="59" t="str">
        <x:v>移动端/PC 回访</x:v>
      </x:c>
      <x:c r="N48" s="60" t="str">
        <x:v>Frozen</x:v>
      </x:c>
    </x:row>
    <x:row r="49" ht="30" customHeight="1">
      <x:c r="A49" s="58" t="str">
        <x:v>M06-API-03</x:v>
      </x:c>
      <x:c r="B49" s="59" t="str">
        <x:v>M06</x:v>
      </x:c>
      <x:c r="C49" s="59" t="str">
        <x:v>GET</x:v>
      </x:c>
      <x:c r="D49" s="59" t="str">
        <x:v>/api/follow-ups/{followUpId}</x:v>
      </x:c>
      <x:c r="E49" s="59" t="str">
        <x:v>领养人/负责RESCUER/ADMIN</x:v>
      </x:c>
      <x:c r="F49" s="59" t="str">
        <x:v>回访详情</x:v>
      </x:c>
      <x:c r="G49" s="59" t="str">
        <x:v>UC-07</x:v>
      </x:c>
      <x:c r="H49" s="59" t="str">
        <x:v>RTM-M06-02</x:v>
      </x:c>
      <x:c r="I49" s="59" t="str">
        <x:v>adoption_record,follow_up_image,follow_up_record</x:v>
      </x:c>
      <x:c r="J49" s="59" t="str">
        <x:v>待设计</x:v>
      </x:c>
      <x:c r="K49" s="59" t="str">
        <x:v>待编码</x:v>
      </x:c>
      <x:c r="L49" s="59" t="str">
        <x:v>未执行</x:v>
      </x:c>
      <x:c r="M49" s="59" t="str">
        <x:v>移动端 回访详情</x:v>
      </x:c>
      <x:c r="N49" s="60" t="str">
        <x:v>Frozen</x:v>
      </x:c>
    </x:row>
    <x:row r="50" ht="30" customHeight="1">
      <x:c r="A50" s="58" t="str">
        <x:v>M06-API-04</x:v>
      </x:c>
      <x:c r="B50" s="59" t="str">
        <x:v>M06</x:v>
      </x:c>
      <x:c r="C50" s="59" t="str">
        <x:v>GET</x:v>
      </x:c>
      <x:c r="D50" s="59" t="str">
        <x:v>/api/admin/follow-ups</x:v>
      </x:c>
      <x:c r="E50" s="59" t="str">
        <x:v>ADMIN</x:v>
      </x:c>
      <x:c r="F50" s="59" t="str">
        <x:v>全量回访分页</x:v>
      </x:c>
      <x:c r="G50" s="59" t="str">
        <x:v>—</x:v>
      </x:c>
      <x:c r="H50" s="59" t="str">
        <x:v>RTM-M06-04</x:v>
      </x:c>
      <x:c r="I50" s="59" t="str">
        <x:v>follow_up_record</x:v>
      </x:c>
      <x:c r="J50" s="59" t="str">
        <x:v>待设计</x:v>
      </x:c>
      <x:c r="K50" s="59" t="str">
        <x:v>待编码</x:v>
      </x:c>
      <x:c r="L50" s="59" t="str">
        <x:v>未执行</x:v>
      </x:c>
      <x:c r="M50" s="59" t="str">
        <x:v>PC 回访管理</x:v>
      </x:c>
      <x:c r="N50" s="60" t="str">
        <x:v>Frozen</x:v>
      </x:c>
    </x:row>
    <x:row r="51" ht="30" customHeight="1">
      <x:c r="A51" s="58" t="str">
        <x:v>M06-API-05</x:v>
      </x:c>
      <x:c r="B51" s="59" t="str">
        <x:v>M06</x:v>
      </x:c>
      <x:c r="C51" s="59" t="str">
        <x:v>GET</x:v>
      </x:c>
      <x:c r="D51" s="59" t="str">
        <x:v>/api/rescuer/follow-ups</x:v>
      </x:c>
      <x:c r="E51" s="59" t="str">
        <x:v>RESCUER</x:v>
      </x:c>
      <x:c r="F51" s="59" t="str">
        <x:v>负责动物回访分页</x:v>
      </x:c>
      <x:c r="G51" s="59" t="str">
        <x:v>—</x:v>
      </x:c>
      <x:c r="H51" s="59" t="str">
        <x:v>RTM-M06-03</x:v>
      </x:c>
      <x:c r="I51" s="59" t="str">
        <x:v>adoption_record,follow_up_record,rescue_task</x:v>
      </x:c>
      <x:c r="J51" s="59" t="str">
        <x:v>待设计</x:v>
      </x:c>
      <x:c r="K51" s="59" t="str">
        <x:v>待编码</x:v>
      </x:c>
      <x:c r="L51" s="59" t="str">
        <x:v>未执行</x:v>
      </x:c>
      <x:c r="M51" s="59" t="str">
        <x:v>移动端/PC 负责回访</x:v>
      </x:c>
      <x:c r="N51" s="60" t="str">
        <x:v>Frozen</x:v>
      </x:c>
    </x:row>
    <x:row r="52" ht="30" customHeight="1">
      <x:c r="A52" s="58" t="str">
        <x:v>COMMON-MEDIA-03</x:v>
      </x:c>
      <x:c r="B52" s="59" t="str">
        <x:v>M06</x:v>
      </x:c>
      <x:c r="C52" s="59" t="str">
        <x:v>GET</x:v>
      </x:c>
      <x:c r="D52" s="59" t="str">
        <x:v>/api/media/follow-up-images/{imageId}</x:v>
      </x:c>
      <x:c r="E52" s="59" t="str">
        <x:v>按回访可见性</x:v>
      </x:c>
      <x:c r="F52" s="59" t="str">
        <x:v>读取回访图片</x:v>
      </x:c>
      <x:c r="G52" s="59" t="str">
        <x:v>—</x:v>
      </x:c>
      <x:c r="H52" s="59" t="str">
        <x:v>RTM-M06-02</x:v>
      </x:c>
      <x:c r="I52" s="59" t="str">
        <x:v>adoption_record,follow_up_image,follow_up_record</x:v>
      </x:c>
      <x:c r="J52" s="59" t="str">
        <x:v>待设计</x:v>
      </x:c>
      <x:c r="K52" s="59" t="str">
        <x:v>待编码</x:v>
      </x:c>
      <x:c r="L52" s="59" t="str">
        <x:v>未执行</x:v>
      </x:c>
      <x:c r="M52" s="59" t="str">
        <x:v>PC/移动端 图片</x:v>
      </x:c>
      <x:c r="N52" s="60" t="str">
        <x:v>Frozen</x:v>
      </x:c>
    </x:row>
    <x:row r="53" ht="30" customHeight="1">
      <x:c r="A53" s="58" t="str">
        <x:v>M07-API-01</x:v>
      </x:c>
      <x:c r="B53" s="59" t="str">
        <x:v>M07</x:v>
      </x:c>
      <x:c r="C53" s="59" t="str">
        <x:v>POST</x:v>
      </x:c>
      <x:c r="D53" s="59" t="str">
        <x:v>/api/animals/{animalId}/favorite</x:v>
      </x:c>
      <x:c r="E53" s="59" t="str">
        <x:v>USER/RESCUER</x:v>
      </x:c>
      <x:c r="F53" s="59" t="str">
        <x:v>收藏动物</x:v>
      </x:c>
      <x:c r="G53" s="59" t="str">
        <x:v>—</x:v>
      </x:c>
      <x:c r="H53" s="59" t="str">
        <x:v>RTM-M07-01</x:v>
      </x:c>
      <x:c r="I53" s="59" t="str">
        <x:v>animal,favorite</x:v>
      </x:c>
      <x:c r="J53" s="59" t="str">
        <x:v>待设计</x:v>
      </x:c>
      <x:c r="K53" s="59" t="str">
        <x:v>待编码</x:v>
      </x:c>
      <x:c r="L53" s="59" t="str">
        <x:v>未执行</x:v>
      </x:c>
      <x:c r="M53" s="59" t="str">
        <x:v>移动端 收藏</x:v>
      </x:c>
      <x:c r="N53" s="60" t="str">
        <x:v>Frozen</x:v>
      </x:c>
    </x:row>
    <x:row r="54" ht="30" customHeight="1">
      <x:c r="A54" s="58" t="str">
        <x:v>M07-API-02</x:v>
      </x:c>
      <x:c r="B54" s="59" t="str">
        <x:v>M07</x:v>
      </x:c>
      <x:c r="C54" s="59" t="str">
        <x:v>DELETE</x:v>
      </x:c>
      <x:c r="D54" s="59" t="str">
        <x:v>/api/animals/{animalId}/favorite</x:v>
      </x:c>
      <x:c r="E54" s="59" t="str">
        <x:v>USER/RESCUER</x:v>
      </x:c>
      <x:c r="F54" s="59" t="str">
        <x:v>取消收藏</x:v>
      </x:c>
      <x:c r="G54" s="59" t="str">
        <x:v>—</x:v>
      </x:c>
      <x:c r="H54" s="59" t="str">
        <x:v>RTM-M07-02</x:v>
      </x:c>
      <x:c r="I54" s="59" t="str">
        <x:v>animal,favorite</x:v>
      </x:c>
      <x:c r="J54" s="59" t="str">
        <x:v>待设计</x:v>
      </x:c>
      <x:c r="K54" s="59" t="str">
        <x:v>待编码</x:v>
      </x:c>
      <x:c r="L54" s="59" t="str">
        <x:v>未执行</x:v>
      </x:c>
      <x:c r="M54" s="59" t="str">
        <x:v>移动端 收藏</x:v>
      </x:c>
      <x:c r="N54" s="60" t="str">
        <x:v>Frozen</x:v>
      </x:c>
    </x:row>
    <x:row r="55" ht="30" customHeight="1">
      <x:c r="A55" s="58" t="str">
        <x:v>M07-API-03</x:v>
      </x:c>
      <x:c r="B55" s="59" t="str">
        <x:v>M07</x:v>
      </x:c>
      <x:c r="C55" s="59" t="str">
        <x:v>GET</x:v>
      </x:c>
      <x:c r="D55" s="59" t="str">
        <x:v>/api/favorites/me</x:v>
      </x:c>
      <x:c r="E55" s="59" t="str">
        <x:v>USER/RESCUER</x:v>
      </x:c>
      <x:c r="F55" s="59" t="str">
        <x:v>我的收藏</x:v>
      </x:c>
      <x:c r="G55" s="59" t="str">
        <x:v>—</x:v>
      </x:c>
      <x:c r="H55" s="59" t="str">
        <x:v>RTM-M07-02</x:v>
      </x:c>
      <x:c r="I55" s="59" t="str">
        <x:v>animal,favorite</x:v>
      </x:c>
      <x:c r="J55" s="59" t="str">
        <x:v>待设计</x:v>
      </x:c>
      <x:c r="K55" s="59" t="str">
        <x:v>待编码</x:v>
      </x:c>
      <x:c r="L55" s="59" t="str">
        <x:v>未执行</x:v>
      </x:c>
      <x:c r="M55" s="59" t="str">
        <x:v>移动端 我的收藏</x:v>
      </x:c>
      <x:c r="N55" s="60" t="str">
        <x:v>Frozen</x:v>
      </x:c>
    </x:row>
    <x:row r="56" ht="30" customHeight="1">
      <x:c r="A56" s="58" t="str">
        <x:v>M07-API-04</x:v>
      </x:c>
      <x:c r="B56" s="59" t="str">
        <x:v>M07</x:v>
      </x:c>
      <x:c r="C56" s="59" t="str">
        <x:v>GET</x:v>
      </x:c>
      <x:c r="D56" s="59" t="str">
        <x:v>/api/announcements</x:v>
      </x:c>
      <x:c r="E56" s="59" t="str">
        <x:v>permitAll</x:v>
      </x:c>
      <x:c r="F56" s="59" t="str">
        <x:v>公告列表</x:v>
      </x:c>
      <x:c r="G56" s="59" t="str">
        <x:v>—</x:v>
      </x:c>
      <x:c r="H56" s="59" t="str">
        <x:v>RTM-M07-03</x:v>
      </x:c>
      <x:c r="I56" s="59" t="str">
        <x:v>announcement</x:v>
      </x:c>
      <x:c r="J56" s="59" t="str">
        <x:v>待设计</x:v>
      </x:c>
      <x:c r="K56" s="59" t="str">
        <x:v>待编码</x:v>
      </x:c>
      <x:c r="L56" s="59" t="str">
        <x:v>未执行</x:v>
      </x:c>
      <x:c r="M56" s="59" t="str">
        <x:v>移动端 公告</x:v>
      </x:c>
      <x:c r="N56" s="60" t="str">
        <x:v>Frozen</x:v>
      </x:c>
    </x:row>
    <x:row r="57" ht="30" customHeight="1">
      <x:c r="A57" s="58" t="str">
        <x:v>M07-API-05</x:v>
      </x:c>
      <x:c r="B57" s="59" t="str">
        <x:v>M07</x:v>
      </x:c>
      <x:c r="C57" s="59" t="str">
        <x:v>GET</x:v>
      </x:c>
      <x:c r="D57" s="59" t="str">
        <x:v>/api/announcements/{announcementId}</x:v>
      </x:c>
      <x:c r="E57" s="59" t="str">
        <x:v>permitAll</x:v>
      </x:c>
      <x:c r="F57" s="59" t="str">
        <x:v>公告详情</x:v>
      </x:c>
      <x:c r="G57" s="59" t="str">
        <x:v>—</x:v>
      </x:c>
      <x:c r="H57" s="59" t="str">
        <x:v>RTM-M07-03</x:v>
      </x:c>
      <x:c r="I57" s="59" t="str">
        <x:v>announcement</x:v>
      </x:c>
      <x:c r="J57" s="59" t="str">
        <x:v>待设计</x:v>
      </x:c>
      <x:c r="K57" s="59" t="str">
        <x:v>待编码</x:v>
      </x:c>
      <x:c r="L57" s="59" t="str">
        <x:v>未执行</x:v>
      </x:c>
      <x:c r="M57" s="59" t="str">
        <x:v>移动端 公告详情</x:v>
      </x:c>
      <x:c r="N57" s="60" t="str">
        <x:v>Frozen</x:v>
      </x:c>
    </x:row>
    <x:row r="58" ht="30" customHeight="1">
      <x:c r="A58" s="58" t="str">
        <x:v>M07-API-06</x:v>
      </x:c>
      <x:c r="B58" s="59" t="str">
        <x:v>M07</x:v>
      </x:c>
      <x:c r="C58" s="59" t="str">
        <x:v>POST</x:v>
      </x:c>
      <x:c r="D58" s="59" t="str">
        <x:v>/api/admin/announcements</x:v>
      </x:c>
      <x:c r="E58" s="59" t="str">
        <x:v>ADMIN</x:v>
      </x:c>
      <x:c r="F58" s="59" t="str">
        <x:v>创建草稿</x:v>
      </x:c>
      <x:c r="G58" s="59" t="str">
        <x:v>—</x:v>
      </x:c>
      <x:c r="H58" s="59" t="str">
        <x:v>RTM-M07-04</x:v>
      </x:c>
      <x:c r="I58" s="59" t="str">
        <x:v>announcement</x:v>
      </x:c>
      <x:c r="J58" s="59" t="str">
        <x:v>待设计</x:v>
      </x:c>
      <x:c r="K58" s="59" t="str">
        <x:v>待编码</x:v>
      </x:c>
      <x:c r="L58" s="59" t="str">
        <x:v>未执行</x:v>
      </x:c>
      <x:c r="M58" s="59" t="str">
        <x:v>PC 公告管理</x:v>
      </x:c>
      <x:c r="N58" s="60" t="str">
        <x:v>Frozen</x:v>
      </x:c>
    </x:row>
    <x:row r="59" ht="30" customHeight="1">
      <x:c r="A59" s="58" t="str">
        <x:v>M07-API-07</x:v>
      </x:c>
      <x:c r="B59" s="59" t="str">
        <x:v>M07</x:v>
      </x:c>
      <x:c r="C59" s="59" t="str">
        <x:v>GET</x:v>
      </x:c>
      <x:c r="D59" s="59" t="str">
        <x:v>/api/admin/announcements</x:v>
      </x:c>
      <x:c r="E59" s="59" t="str">
        <x:v>ADMIN</x:v>
      </x:c>
      <x:c r="F59" s="59" t="str">
        <x:v>公告管理列表</x:v>
      </x:c>
      <x:c r="G59" s="59" t="str">
        <x:v>—</x:v>
      </x:c>
      <x:c r="H59" s="59" t="str">
        <x:v>RTM-M07-04</x:v>
      </x:c>
      <x:c r="I59" s="59" t="str">
        <x:v>announcement</x:v>
      </x:c>
      <x:c r="J59" s="59" t="str">
        <x:v>待设计</x:v>
      </x:c>
      <x:c r="K59" s="59" t="str">
        <x:v>待编码</x:v>
      </x:c>
      <x:c r="L59" s="59" t="str">
        <x:v>未执行</x:v>
      </x:c>
      <x:c r="M59" s="59" t="str">
        <x:v>PC 公告管理</x:v>
      </x:c>
      <x:c r="N59" s="60" t="str">
        <x:v>Frozen</x:v>
      </x:c>
    </x:row>
    <x:row r="60" ht="30" customHeight="1">
      <x:c r="A60" s="58" t="str">
        <x:v>M07-API-08</x:v>
      </x:c>
      <x:c r="B60" s="59" t="str">
        <x:v>M07</x:v>
      </x:c>
      <x:c r="C60" s="59" t="str">
        <x:v>GET</x:v>
      </x:c>
      <x:c r="D60" s="59" t="str">
        <x:v>/api/admin/announcements/{announcementId}</x:v>
      </x:c>
      <x:c r="E60" s="59" t="str">
        <x:v>ADMIN</x:v>
      </x:c>
      <x:c r="F60" s="59" t="str">
        <x:v>公告管理详情</x:v>
      </x:c>
      <x:c r="G60" s="59" t="str">
        <x:v>—</x:v>
      </x:c>
      <x:c r="H60" s="59" t="str">
        <x:v>RTM-M07-04</x:v>
      </x:c>
      <x:c r="I60" s="59" t="str">
        <x:v>announcement</x:v>
      </x:c>
      <x:c r="J60" s="59" t="str">
        <x:v>待设计</x:v>
      </x:c>
      <x:c r="K60" s="59" t="str">
        <x:v>待编码</x:v>
      </x:c>
      <x:c r="L60" s="59" t="str">
        <x:v>未执行</x:v>
      </x:c>
      <x:c r="M60" s="59" t="str">
        <x:v>PC 公告管理</x:v>
      </x:c>
      <x:c r="N60" s="60" t="str">
        <x:v>Frozen</x:v>
      </x:c>
    </x:row>
    <x:row r="61" ht="30" customHeight="1">
      <x:c r="A61" s="58" t="str">
        <x:v>M07-API-09</x:v>
      </x:c>
      <x:c r="B61" s="59" t="str">
        <x:v>M07</x:v>
      </x:c>
      <x:c r="C61" s="59" t="str">
        <x:v>PATCH</x:v>
      </x:c>
      <x:c r="D61" s="59" t="str">
        <x:v>/api/admin/announcements/{announcementId}</x:v>
      </x:c>
      <x:c r="E61" s="59" t="str">
        <x:v>ADMIN</x:v>
      </x:c>
      <x:c r="F61" s="59" t="str">
        <x:v>编辑公告</x:v>
      </x:c>
      <x:c r="G61" s="59" t="str">
        <x:v>—</x:v>
      </x:c>
      <x:c r="H61" s="59" t="str">
        <x:v>RTM-M07-04</x:v>
      </x:c>
      <x:c r="I61" s="59" t="str">
        <x:v>announcement</x:v>
      </x:c>
      <x:c r="J61" s="59" t="str">
        <x:v>待设计</x:v>
      </x:c>
      <x:c r="K61" s="59" t="str">
        <x:v>待编码</x:v>
      </x:c>
      <x:c r="L61" s="59" t="str">
        <x:v>未执行</x:v>
      </x:c>
      <x:c r="M61" s="59" t="str">
        <x:v>PC 公告管理</x:v>
      </x:c>
      <x:c r="N61" s="60" t="str">
        <x:v>Frozen</x:v>
      </x:c>
    </x:row>
    <x:row r="62" ht="30" customHeight="1">
      <x:c r="A62" s="58" t="str">
        <x:v>M07-API-10</x:v>
      </x:c>
      <x:c r="B62" s="59" t="str">
        <x:v>M07</x:v>
      </x:c>
      <x:c r="C62" s="59" t="str">
        <x:v>POST</x:v>
      </x:c>
      <x:c r="D62" s="59" t="str">
        <x:v>/api/admin/announcements/{announcementId}/publish</x:v>
      </x:c>
      <x:c r="E62" s="59" t="str">
        <x:v>ADMIN</x:v>
      </x:c>
      <x:c r="F62" s="59" t="str">
        <x:v>发布公告</x:v>
      </x:c>
      <x:c r="G62" s="59" t="str">
        <x:v>—</x:v>
      </x:c>
      <x:c r="H62" s="59" t="str">
        <x:v>RTM-M07-05</x:v>
      </x:c>
      <x:c r="I62" s="59" t="str">
        <x:v>announcement,operation_log</x:v>
      </x:c>
      <x:c r="J62" s="59" t="str">
        <x:v>待设计</x:v>
      </x:c>
      <x:c r="K62" s="59" t="str">
        <x:v>待编码</x:v>
      </x:c>
      <x:c r="L62" s="59" t="str">
        <x:v>未执行</x:v>
      </x:c>
      <x:c r="M62" s="59" t="str">
        <x:v>PC 公告管理</x:v>
      </x:c>
      <x:c r="N62" s="60" t="str">
        <x:v>Frozen</x:v>
      </x:c>
    </x:row>
    <x:row r="63" ht="30" customHeight="1">
      <x:c r="A63" s="58" t="str">
        <x:v>M07-API-11</x:v>
      </x:c>
      <x:c r="B63" s="59" t="str">
        <x:v>M07</x:v>
      </x:c>
      <x:c r="C63" s="59" t="str">
        <x:v>POST</x:v>
      </x:c>
      <x:c r="D63" s="59" t="str">
        <x:v>/api/admin/announcements/{announcementId}/withdraw</x:v>
      </x:c>
      <x:c r="E63" s="59" t="str">
        <x:v>ADMIN</x:v>
      </x:c>
      <x:c r="F63" s="59" t="str">
        <x:v>撤回公告</x:v>
      </x:c>
      <x:c r="G63" s="59" t="str">
        <x:v>—</x:v>
      </x:c>
      <x:c r="H63" s="59" t="str">
        <x:v>RTM-M07-05</x:v>
      </x:c>
      <x:c r="I63" s="59" t="str">
        <x:v>announcement,operation_log</x:v>
      </x:c>
      <x:c r="J63" s="59" t="str">
        <x:v>待设计</x:v>
      </x:c>
      <x:c r="K63" s="59" t="str">
        <x:v>待编码</x:v>
      </x:c>
      <x:c r="L63" s="59" t="str">
        <x:v>未执行</x:v>
      </x:c>
      <x:c r="M63" s="59" t="str">
        <x:v>PC 公告管理</x:v>
      </x:c>
      <x:c r="N63" s="60" t="str">
        <x:v>Frozen</x:v>
      </x:c>
    </x:row>
    <x:row r="64" ht="30" customHeight="1">
      <x:c r="A64" s="58" t="str">
        <x:v>M08-API-01</x:v>
      </x:c>
      <x:c r="B64" s="59" t="str">
        <x:v>M08</x:v>
      </x:c>
      <x:c r="C64" s="59" t="str">
        <x:v>GET</x:v>
      </x:c>
      <x:c r="D64" s="59" t="str">
        <x:v>/api/admin/users</x:v>
      </x:c>
      <x:c r="E64" s="59" t="str">
        <x:v>ADMIN</x:v>
      </x:c>
      <x:c r="F64" s="59" t="str">
        <x:v>用户列表</x:v>
      </x:c>
      <x:c r="G64" s="59" t="str">
        <x:v>—</x:v>
      </x:c>
      <x:c r="H64" s="59" t="str">
        <x:v>RTM-M08-01</x:v>
      </x:c>
      <x:c r="I64" s="59" t="str">
        <x:v>sys_user</x:v>
      </x:c>
      <x:c r="J64" s="59" t="str">
        <x:v>待设计</x:v>
      </x:c>
      <x:c r="K64" s="59" t="str">
        <x:v>待编码</x:v>
      </x:c>
      <x:c r="L64" s="59" t="str">
        <x:v>未执行</x:v>
      </x:c>
      <x:c r="M64" s="59" t="str">
        <x:v>PC 用户管理</x:v>
      </x:c>
      <x:c r="N64" s="60" t="str">
        <x:v>Frozen</x:v>
      </x:c>
    </x:row>
    <x:row r="65" ht="30" customHeight="1">
      <x:c r="A65" s="58" t="str">
        <x:v>M08-API-02</x:v>
      </x:c>
      <x:c r="B65" s="59" t="str">
        <x:v>M08</x:v>
      </x:c>
      <x:c r="C65" s="59" t="str">
        <x:v>GET</x:v>
      </x:c>
      <x:c r="D65" s="59" t="str">
        <x:v>/api/admin/users/{userId}</x:v>
      </x:c>
      <x:c r="E65" s="59" t="str">
        <x:v>ADMIN</x:v>
      </x:c>
      <x:c r="F65" s="59" t="str">
        <x:v>用户详情</x:v>
      </x:c>
      <x:c r="G65" s="59" t="str">
        <x:v>—</x:v>
      </x:c>
      <x:c r="H65" s="59" t="str">
        <x:v>RTM-M08-01</x:v>
      </x:c>
      <x:c r="I65" s="59" t="str">
        <x:v>sys_user</x:v>
      </x:c>
      <x:c r="J65" s="59" t="str">
        <x:v>待设计</x:v>
      </x:c>
      <x:c r="K65" s="59" t="str">
        <x:v>待编码</x:v>
      </x:c>
      <x:c r="L65" s="59" t="str">
        <x:v>未执行</x:v>
      </x:c>
      <x:c r="M65" s="59" t="str">
        <x:v>PC 用户管理</x:v>
      </x:c>
      <x:c r="N65" s="60" t="str">
        <x:v>Frozen</x:v>
      </x:c>
    </x:row>
    <x:row r="66" ht="30" customHeight="1">
      <x:c r="A66" s="58" t="str">
        <x:v>M08-API-03</x:v>
      </x:c>
      <x:c r="B66" s="59" t="str">
        <x:v>M08</x:v>
      </x:c>
      <x:c r="C66" s="59" t="str">
        <x:v>POST</x:v>
      </x:c>
      <x:c r="D66" s="59" t="str">
        <x:v>/api/admin/users/{userId}/enable</x:v>
      </x:c>
      <x:c r="E66" s="59" t="str">
        <x:v>ADMIN</x:v>
      </x:c>
      <x:c r="F66" s="59" t="str">
        <x:v>启用用户</x:v>
      </x:c>
      <x:c r="G66" s="59" t="str">
        <x:v>—</x:v>
      </x:c>
      <x:c r="H66" s="59" t="str">
        <x:v>RTM-M08-02</x:v>
      </x:c>
      <x:c r="I66" s="59" t="str">
        <x:v>operation_log,sys_user</x:v>
      </x:c>
      <x:c r="J66" s="59" t="str">
        <x:v>待设计</x:v>
      </x:c>
      <x:c r="K66" s="59" t="str">
        <x:v>待编码</x:v>
      </x:c>
      <x:c r="L66" s="59" t="str">
        <x:v>未执行</x:v>
      </x:c>
      <x:c r="M66" s="59" t="str">
        <x:v>PC 用户管理</x:v>
      </x:c>
      <x:c r="N66" s="60" t="str">
        <x:v>Frozen</x:v>
      </x:c>
    </x:row>
    <x:row r="67" ht="30" customHeight="1">
      <x:c r="A67" s="58" t="str">
        <x:v>M08-API-04</x:v>
      </x:c>
      <x:c r="B67" s="59" t="str">
        <x:v>M08</x:v>
      </x:c>
      <x:c r="C67" s="59" t="str">
        <x:v>POST</x:v>
      </x:c>
      <x:c r="D67" s="59" t="str">
        <x:v>/api/admin/users/{userId}/disable</x:v>
      </x:c>
      <x:c r="E67" s="59" t="str">
        <x:v>ADMIN</x:v>
      </x:c>
      <x:c r="F67" s="59" t="str">
        <x:v>禁用用户</x:v>
      </x:c>
      <x:c r="G67" s="59" t="str">
        <x:v>—</x:v>
      </x:c>
      <x:c r="H67" s="59" t="str">
        <x:v>RTM-M08-02</x:v>
      </x:c>
      <x:c r="I67" s="59" t="str">
        <x:v>operation_log,sys_user</x:v>
      </x:c>
      <x:c r="J67" s="59" t="str">
        <x:v>待设计</x:v>
      </x:c>
      <x:c r="K67" s="59" t="str">
        <x:v>待编码</x:v>
      </x:c>
      <x:c r="L67" s="59" t="str">
        <x:v>未执行</x:v>
      </x:c>
      <x:c r="M67" s="59" t="str">
        <x:v>PC 用户管理</x:v>
      </x:c>
      <x:c r="N67" s="60" t="str">
        <x:v>Frozen</x:v>
      </x:c>
    </x:row>
    <x:row r="68" ht="30" customHeight="1">
      <x:c r="A68" s="58" t="str">
        <x:v>M08-API-05</x:v>
      </x:c>
      <x:c r="B68" s="59" t="str">
        <x:v>M08</x:v>
      </x:c>
      <x:c r="C68" s="59" t="str">
        <x:v>POST</x:v>
      </x:c>
      <x:c r="D68" s="59" t="str">
        <x:v>/api/admin/users/{userId}/promote-rescuer</x:v>
      </x:c>
      <x:c r="E68" s="59" t="str">
        <x:v>ADMIN</x:v>
      </x:c>
      <x:c r="F68" s="59" t="str">
        <x:v>晋升RESCUER</x:v>
      </x:c>
      <x:c r="G68" s="59" t="str">
        <x:v>—</x:v>
      </x:c>
      <x:c r="H68" s="59" t="str">
        <x:v>RTM-M08-03</x:v>
      </x:c>
      <x:c r="I68" s="59" t="str">
        <x:v>operation_log,sys_user</x:v>
      </x:c>
      <x:c r="J68" s="59" t="str">
        <x:v>待设计</x:v>
      </x:c>
      <x:c r="K68" s="59" t="str">
        <x:v>待编码</x:v>
      </x:c>
      <x:c r="L68" s="59" t="str">
        <x:v>未执行</x:v>
      </x:c>
      <x:c r="M68" s="59" t="str">
        <x:v>PC 用户管理</x:v>
      </x:c>
      <x:c r="N68" s="60" t="str">
        <x:v>Frozen</x:v>
      </x:c>
    </x:row>
    <x:row r="69" ht="30" customHeight="1">
      <x:c r="A69" s="58" t="str">
        <x:v>M08-API-06</x:v>
      </x:c>
      <x:c r="B69" s="59" t="str">
        <x:v>M08</x:v>
      </x:c>
      <x:c r="C69" s="59" t="str">
        <x:v>GET</x:v>
      </x:c>
      <x:c r="D69" s="59" t="str">
        <x:v>/api/admin/rescue-tasks</x:v>
      </x:c>
      <x:c r="E69" s="59" t="str">
        <x:v>ADMIN</x:v>
      </x:c>
      <x:c r="F69" s="59" t="str">
        <x:v>救助任务监管列表</x:v>
      </x:c>
      <x:c r="G69" s="59" t="str">
        <x:v>—</x:v>
      </x:c>
      <x:c r="H69" s="59" t="str">
        <x:v>RTM-M08-04</x:v>
      </x:c>
      <x:c r="I69" s="59" t="str">
        <x:v>adoption_record,animal,rescue_task</x:v>
      </x:c>
      <x:c r="J69" s="59" t="str">
        <x:v>待设计</x:v>
      </x:c>
      <x:c r="K69" s="59" t="str">
        <x:v>待编码</x:v>
      </x:c>
      <x:c r="L69" s="59" t="str">
        <x:v>未执行</x:v>
      </x:c>
      <x:c r="M69" s="59" t="str">
        <x:v>PC 救助任务</x:v>
      </x:c>
      <x:c r="N69" s="60" t="str">
        <x:v>Frozen</x:v>
      </x:c>
    </x:row>
    <x:row r="70" ht="30" customHeight="1">
      <x:c r="A70" s="58" t="str">
        <x:v>M08-API-07</x:v>
      </x:c>
      <x:c r="B70" s="59" t="str">
        <x:v>M08</x:v>
      </x:c>
      <x:c r="C70" s="59" t="str">
        <x:v>GET</x:v>
      </x:c>
      <x:c r="D70" s="59" t="str">
        <x:v>/api/admin/animals</x:v>
      </x:c>
      <x:c r="E70" s="59" t="str">
        <x:v>ADMIN</x:v>
      </x:c>
      <x:c r="F70" s="59" t="str">
        <x:v>动物监管列表</x:v>
      </x:c>
      <x:c r="G70" s="59" t="str">
        <x:v>—</x:v>
      </x:c>
      <x:c r="H70" s="59" t="str">
        <x:v>RTM-M08-04</x:v>
      </x:c>
      <x:c r="I70" s="59" t="str">
        <x:v>adoption_record,animal,rescue_task</x:v>
      </x:c>
      <x:c r="J70" s="59" t="str">
        <x:v>待设计</x:v>
      </x:c>
      <x:c r="K70" s="59" t="str">
        <x:v>待编码</x:v>
      </x:c>
      <x:c r="L70" s="59" t="str">
        <x:v>未执行</x:v>
      </x:c>
      <x:c r="M70" s="59" t="str">
        <x:v>PC 动物档案</x:v>
      </x:c>
      <x:c r="N70" s="60" t="str">
        <x:v>Frozen</x:v>
      </x:c>
    </x:row>
    <x:row r="71" ht="30" customHeight="1">
      <x:c r="A71" s="58" t="str">
        <x:v>M08-API-08</x:v>
      </x:c>
      <x:c r="B71" s="59" t="str">
        <x:v>M08</x:v>
      </x:c>
      <x:c r="C71" s="59" t="str">
        <x:v>GET</x:v>
      </x:c>
      <x:c r="D71" s="59" t="str">
        <x:v>/api/admin/adoption-records</x:v>
      </x:c>
      <x:c r="E71" s="59" t="str">
        <x:v>ADMIN</x:v>
      </x:c>
      <x:c r="F71" s="59" t="str">
        <x:v>领养记录监管列表</x:v>
      </x:c>
      <x:c r="G71" s="59" t="str">
        <x:v>—</x:v>
      </x:c>
      <x:c r="H71" s="59" t="str">
        <x:v>RTM-M08-04</x:v>
      </x:c>
      <x:c r="I71" s="59" t="str">
        <x:v>adoption_record,animal,rescue_task</x:v>
      </x:c>
      <x:c r="J71" s="59" t="str">
        <x:v>待设计</x:v>
      </x:c>
      <x:c r="K71" s="59" t="str">
        <x:v>待编码</x:v>
      </x:c>
      <x:c r="L71" s="59" t="str">
        <x:v>未执行</x:v>
      </x:c>
      <x:c r="M71" s="59" t="str">
        <x:v>PC 领养记录监管</x:v>
      </x:c>
      <x:c r="N71" s="60" t="str">
        <x:v>Frozen</x:v>
      </x:c>
    </x:row>
    <x:row r="72" ht="30" customHeight="1">
      <x:c r="A72" s="58" t="str">
        <x:v>M08-API-09</x:v>
      </x:c>
      <x:c r="B72" s="59" t="str">
        <x:v>M08</x:v>
      </x:c>
      <x:c r="C72" s="59" t="str">
        <x:v>GET</x:v>
      </x:c>
      <x:c r="D72" s="59" t="str">
        <x:v>/api/admin/stats/overview</x:v>
      </x:c>
      <x:c r="E72" s="59" t="str">
        <x:v>ADMIN</x:v>
      </x:c>
      <x:c r="F72" s="59" t="str">
        <x:v>统计概览</x:v>
      </x:c>
      <x:c r="G72" s="59" t="str">
        <x:v>—</x:v>
      </x:c>
      <x:c r="H72" s="59" t="str">
        <x:v>RTM-M08-05</x:v>
      </x:c>
      <x:c r="I72" s="59" t="str">
        <x:v>adoption_application,adoption_record,animal,follow_up_record,rescue_clue,rescue_task</x:v>
      </x:c>
      <x:c r="J72" s="59" t="str">
        <x:v>待设计</x:v>
      </x:c>
      <x:c r="K72" s="59" t="str">
        <x:v>待编码</x:v>
      </x:c>
      <x:c r="L72" s="59" t="str">
        <x:v>未执行</x:v>
      </x:c>
      <x:c r="M72" s="59" t="str">
        <x:v>PC 总览</x:v>
      </x:c>
      <x:c r="N72" s="60" t="str">
        <x:v>Frozen</x:v>
      </x:c>
    </x:row>
    <x:row r="73" ht="30" customHeight="1">
      <x:c r="A73" s="61" t="str">
        <x:v>M08-API-10</x:v>
      </x:c>
      <x:c r="B73" s="62" t="str">
        <x:v>M08</x:v>
      </x:c>
      <x:c r="C73" s="62" t="str">
        <x:v>GET</x:v>
      </x:c>
      <x:c r="D73" s="62" t="str">
        <x:v>/api/admin/stats/trends</x:v>
      </x:c>
      <x:c r="E73" s="62" t="str">
        <x:v>ADMIN</x:v>
      </x:c>
      <x:c r="F73" s="62" t="str">
        <x:v>趋势统计</x:v>
      </x:c>
      <x:c r="G73" s="62" t="str">
        <x:v>—</x:v>
      </x:c>
      <x:c r="H73" s="62" t="str">
        <x:v>RTM-M08-06</x:v>
      </x:c>
      <x:c r="I73" s="62" t="str">
        <x:v>adoption_record,rescue_task</x:v>
      </x:c>
      <x:c r="J73" s="62" t="str">
        <x:v>待设计</x:v>
      </x:c>
      <x:c r="K73" s="62" t="str">
        <x:v>待编码</x:v>
      </x:c>
      <x:c r="L73" s="62" t="str">
        <x:v>未执行</x:v>
      </x:c>
      <x:c r="M73" s="62" t="str">
        <x:v>PC 总览</x:v>
      </x:c>
      <x:c r="N73" s="63" t="str">
        <x:v>Frozen</x:v>
      </x:c>
    </x:row>
  </x:sheetData>
  <x:conditionalFormatting sqref="H2:H73">
    <x:cfRule type="expression" dxfId="4" priority="1">
      <x:formula>H2="Frozen"</x:formula>
    </x:cfRule>
    <x:cfRule type="expression" dxfId="5" priority="2">
      <x:formula>H2="待统一"</x:formula>
    </x:cfRule>
  </x:conditionalFormatting>
  <x:conditionalFormatting sqref="K2:K73">
    <x:cfRule type="expression" dxfId="15" priority="3">
      <x:formula>K2="待编码"</x:formula>
    </x:cfRule>
    <x:cfRule type="expression" dxfId="16" priority="4">
      <x:formula>K2="已实现"</x:formula>
    </x:cfRule>
  </x:conditionalFormatting>
  <x:conditionalFormatting sqref="L2:L73">
    <x:cfRule type="expression" dxfId="17" priority="5">
      <x:formula>L2="通过"</x:formula>
    </x:cfRule>
    <x:cfRule type="expression" dxfId="18" priority="6">
      <x:formula>L2="失败"</x:formula>
    </x:cfRule>
  </x:conditionalFormatting>
  <x:conditionalFormatting sqref="N2:N73">
    <x:cfRule type="expression" dxfId="19" priority="7">
      <x:formula>N2="Frozen"</x:formula>
    </x:cfRule>
  </x:conditionalFormatting>
  <x:dataValidations count="2">
    <x:dataValidation type="list" sqref="K2:K73">
      <x:formula1>"待编码,编码中,已实现"</x:formula1>
    </x:dataValidation>
    <x:dataValidation type="list" sqref="L2:L73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d71e8777d645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4" hidden="0" customWidth="1"/>
    <x:col min="4" max="4" width="58" hidden="0" customWidth="1"/>
  </x:cols>
  <x:sheetData>
    <x:row r="1" ht="30" customHeight="1">
      <x:c r="A1" s="55" t="str">
        <x:v>基线类别</x:v>
      </x:c>
      <x:c r="B1" s="56" t="str">
        <x:v>Artifact / 规则</x:v>
      </x:c>
      <x:c r="C1" s="56" t="str">
        <x:v>当前状态</x:v>
      </x:c>
      <x:c r="D1" s="57" t="str">
        <x:v>用途/说明</x:v>
      </x:c>
    </x:row>
    <x:row r="2" ht="34" customHeight="1">
      <x:c r="A2" s="58" t="str">
        <x:v>需求与规则</x:v>
      </x:c>
      <x:c r="B2" s="59" t="str">
        <x:v>project_state(PetLink v1.0需求定义).md</x:v>
      </x:c>
      <x:c r="C2" s="59" t="str">
        <x:v>Frozen</x:v>
      </x:c>
      <x:c r="D2" s="60" t="str">
        <x:v>正式源需求与规则基线；领养角色规则已统一</x:v>
      </x:c>
    </x:row>
    <x:row r="3" ht="34" customHeight="1">
      <x:c r="A3" s="58" t="str">
        <x:v>REST API</x:v>
      </x:c>
      <x:c r="B3" s="59" t="str">
        <x:v>docs/api/rest-api-global-m01.md</x:v>
      </x:c>
      <x:c r="C3" s="59" t="str">
        <x:v>Frozen</x:v>
      </x:c>
      <x:c r="D3" s="60" t="str">
        <x:v>全局协议、错误码、M01</x:v>
      </x:c>
    </x:row>
    <x:row r="4" ht="34" customHeight="1">
      <x:c r="A4" s="58" t="str">
        <x:v>REST API</x:v>
      </x:c>
      <x:c r="B4" s="59" t="str">
        <x:v>docs/api/rest-api-m02-m03.md</x:v>
      </x:c>
      <x:c r="C4" s="59" t="str">
        <x:v>Frozen</x:v>
      </x:c>
      <x:c r="D4" s="60" t="str">
        <x:v>M02/M03 API</x:v>
      </x:c>
    </x:row>
    <x:row r="5" ht="34" customHeight="1">
      <x:c r="A5" s="58" t="str">
        <x:v>REST API</x:v>
      </x:c>
      <x:c r="B5" s="59" t="str">
        <x:v>docs/api/rest-api-m04-m05.md</x:v>
      </x:c>
      <x:c r="C5" s="59" t="str">
        <x:v>Frozen</x:v>
      </x:c>
      <x:c r="D5" s="60" t="str">
        <x:v>M04/M05 API</x:v>
      </x:c>
    </x:row>
    <x:row r="6" ht="34" customHeight="1">
      <x:c r="A6" s="58" t="str">
        <x:v>REST API</x:v>
      </x:c>
      <x:c r="B6" s="59" t="str">
        <x:v>docs/api/rest-api-m06-m07-m08.md</x:v>
      </x:c>
      <x:c r="C6" s="59" t="str">
        <x:v>Frozen</x:v>
      </x:c>
      <x:c r="D6" s="60" t="str">
        <x:v>M06/M07/M08 API</x:v>
      </x:c>
    </x:row>
    <x:row r="7" ht="34" customHeight="1">
      <x:c r="A7" s="58" t="str">
        <x:v>数据库</x:v>
      </x:c>
      <x:c r="B7" s="59" t="str">
        <x:v>sql/petlink.sql</x:v>
      </x:c>
      <x:c r="C7" s="59" t="str">
        <x:v>Frozen</x:v>
      </x:c>
      <x:c r="D7" s="60" t="str">
        <x:v>16表结构与约束</x:v>
      </x:c>
    </x:row>
    <x:row r="8" ht="34" customHeight="1">
      <x:c r="A8" s="58" t="str">
        <x:v>架构图</x:v>
      </x:c>
      <x:c r="B8" s="59" t="str">
        <x:v>uml/system-architecture.puml</x:v>
      </x:c>
      <x:c r="C8" s="59" t="str">
        <x:v>Frozen</x:v>
      </x:c>
      <x:c r="D8" s="60" t="str">
        <x:v>系统架构</x:v>
      </x:c>
    </x:row>
    <x:row r="9" ht="34" customHeight="1">
      <x:c r="A9" s="58" t="str">
        <x:v>功能模块图</x:v>
      </x:c>
      <x:c r="B9" s="59" t="str">
        <x:v>uml/functional-modules.puml</x:v>
      </x:c>
      <x:c r="C9" s="59" t="str">
        <x:v>Frozen</x:v>
      </x:c>
      <x:c r="D9" s="60" t="str">
        <x:v>M01～M08 功能分解</x:v>
      </x:c>
    </x:row>
    <x:row r="10" ht="34" customHeight="1">
      <x:c r="A10" s="58" t="str">
        <x:v>顺序图</x:v>
      </x:c>
      <x:c r="B10" s="59" t="str">
        <x:v>uml/sequence/</x:v>
      </x:c>
      <x:c r="C10" s="59" t="str">
        <x:v>Frozen</x:v>
      </x:c>
      <x:c r="D10" s="60" t="str">
        <x:v>UC-01～UC-07 顺序图目录</x:v>
      </x:c>
    </x:row>
    <x:row r="11" ht="34" customHeight="1">
      <x:c r="A11" s="58" t="str">
        <x:v>类图</x:v>
      </x:c>
      <x:c r="B11" s="59" t="str">
        <x:v>uml/classes/</x:v>
      </x:c>
      <x:c r="C11" s="59" t="str">
        <x:v>Frozen</x:v>
      </x:c>
      <x:c r="D11" s="60" t="str">
        <x:v>核心领域 + 应用服务类图目录</x:v>
      </x:c>
    </x:row>
    <x:row r="12" ht="34" customHeight="1">
      <x:c r="A12" s="58" t="str">
        <x:v>高保真原型</x:v>
      </x:c>
      <x:c r="B12" s="59" t="str">
        <x:v>prototypes/PetLink-V2.1-Frozen.zip</x:v>
      </x:c>
      <x:c r="C12" s="59" t="str">
        <x:v>Frozen</x:v>
      </x:c>
      <x:c r="D12" s="60" t="str">
        <x:v>PC + 移动端最终页面视觉与演示交互</x:v>
      </x:c>
    </x:row>
    <x:row r="13" ht="34" customHeight="1">
      <x:c r="A13" s="58" t="str">
        <x:v>需求追踪矩阵</x:v>
      </x:c>
      <x:c r="B13" s="59" t="str">
        <x:v>docs/PetLink-需求追踪矩阵-v1.1-Frozen.xlsx</x:v>
      </x:c>
      <x:c r="C13" s="59" t="str">
        <x:v>Frozen</x:v>
      </x:c>
      <x:c r="D13" s="60" t="str">
        <x:v>需求 ↔ API ↔ 实体 ↔ 原型 ↔ 测试总索引</x:v>
      </x:c>
    </x:row>
    <x:row r="14" ht="34" customHeight="1">
      <x:c r="A14" s="58" t="str">
        <x:v>文档同步</x:v>
      </x:c>
      <x:c r="B14" s="59" t="str">
        <x:v>project_state(PetLink v1.0需求定义).md</x:v>
      </x:c>
      <x:c r="C14" s="59" t="str">
        <x:v>待同步</x:v>
      </x:c>
      <x:c r="D14" s="60" t="str">
        <x:v>领养角色规则已统一；仅需同步当前完成度与下一阶段编码/测试工作</x:v>
      </x:c>
    </x:row>
    <x:row r="15" ht="34" customHeight="1">
      <x:c r="A15" s="61" t="str">
        <x:v>追踪矩阵说明</x:v>
      </x:c>
      <x:c r="B15" s="62" t="str">
        <x:v>RTM-Mxx-xx 为本工作簿内部追踪ID</x:v>
      </x:c>
      <x:c r="C15" s="62" t="str">
        <x:v>说明</x:v>
      </x:c>
      <x:c r="D15" s="63" t="str">
        <x:v>来源需求ID使用正式 FR/BR/NFR 编号；API使用 Frozen API ID</x:v>
      </x:c>
    </x:row>
  </x:sheetData>
  <x:conditionalFormatting sqref="C2:C14">
    <x:cfRule type="expression" dxfId="6" priority="1">
      <x:formula>C2="Frozen"</x:formula>
    </x:cfRule>
    <x:cfRule type="expression" dxfId="7" priority="2">
      <x:formula>C2="待统一"</x:formula>
    </x:cfRule>
  </x:conditionalFormatting>
  <x:conditionalFormatting sqref="C2:C15">
    <x:cfRule type="expression" dxfId="20" priority="3">
      <x:formula>C2="Frozen"</x:formula>
    </x:cfRule>
    <x:cfRule type="expression" dxfId="21" priority="4">
      <x:formula>C2="待同步"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1c5805c36d41ff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55" hidden="0" customWidth="1"/>
    <x:col min="5" max="5" width="48" hidden="0" customWidth="1"/>
    <x:col min="6" max="6" width="12" hidden="0" customWidth="1"/>
    <x:col min="7" max="7" width="34" hidden="0" customWidth="1"/>
    <x:col min="8" max="8" width="18" hidden="0" customWidth="1"/>
  </x:cols>
  <x:sheetData>
    <x:row r="1" ht="30" customHeight="1">
      <x:c r="A1" s="55" t="str">
        <x:v>来源需求ID</x:v>
      </x:c>
      <x:c r="B1" s="56" t="str">
        <x:v>类型</x:v>
      </x:c>
      <x:c r="C1" s="56" t="str">
        <x:v>模块/类别</x:v>
      </x:c>
      <x:c r="D1" s="56" t="str">
        <x:v>正式条款</x:v>
      </x:c>
      <x:c r="E1" s="56" t="str">
        <x:v>关联RTM ID</x:v>
      </x:c>
      <x:c r="F1" s="56" t="str">
        <x:v>映射状态</x:v>
      </x:c>
      <x:c r="G1" s="56" t="str">
        <x:v>来源</x:v>
      </x:c>
      <x:c r="H1" s="57" t="str">
        <x:v>备注</x:v>
      </x:c>
    </x:row>
    <x:row r="2" ht="32" customHeight="1">
      <x:c r="A2" s="58" t="str">
        <x:v>FR-AUTH-01</x:v>
      </x:c>
      <x:c r="B2" s="59" t="str">
        <x:v>FR</x:v>
      </x:c>
      <x:c r="C2" s="59" t="str">
        <x:v>M01 用户/认证</x:v>
      </x:c>
      <x:c r="D2" s="59" t="str">
        <x:v>未注册用户可以注册普通用户账号</x:v>
      </x:c>
      <x:c r="E2" s="59" t="str">
        <x:v>RTM-M01-01</x:v>
      </x:c>
      <x:c r="F2" s="59" t="str">
        <x:f>IF(E2&lt;&gt;"","已映射","未映射")</x:f>
        <x:v>已映射</x:v>
      </x:c>
      <x:c r="G2" s="59" t="str">
        <x:v>project_state.md §7 功能需求基线</x:v>
      </x:c>
      <x:c r="H2" s="60" t="str"/>
    </x:row>
    <x:row r="3" ht="32" customHeight="1">
      <x:c r="A3" s="58" t="str">
        <x:v>FR-AUTH-02</x:v>
      </x:c>
      <x:c r="B3" s="59" t="str">
        <x:v>FR</x:v>
      </x:c>
      <x:c r="C3" s="59" t="str">
        <x:v>M01 用户/认证</x:v>
      </x:c>
      <x:c r="D3" s="59" t="str">
        <x:v>用户可以使用账号和密码登录</x:v>
      </x:c>
      <x:c r="E3" s="59" t="str">
        <x:v>RTM-M01-02</x:v>
      </x:c>
      <x:c r="F3" s="59" t="str">
        <x:f>IF(E3&lt;&gt;"","已映射","未映射")</x:f>
        <x:v>已映射</x:v>
      </x:c>
      <x:c r="G3" s="59" t="str">
        <x:v>project_state.md §7 功能需求基线</x:v>
      </x:c>
      <x:c r="H3" s="60" t="str"/>
    </x:row>
    <x:row r="4" ht="32" customHeight="1">
      <x:c r="A4" s="58" t="str">
        <x:v>FR-AUTH-03</x:v>
      </x:c>
      <x:c r="B4" s="59" t="str">
        <x:v>FR</x:v>
      </x:c>
      <x:c r="C4" s="59" t="str">
        <x:v>M01 用户/认证</x:v>
      </x:c>
      <x:c r="D4" s="59" t="str">
        <x:v>系统根据当前角色控制接口和功能访问</x:v>
      </x:c>
      <x:c r="E4" s="59" t="str">
        <x:v>RTM-M01-03；RTM-M02-03；RTM-M03-03；RTM-M03-06；RTM-M04-02；RTM-M04-06；RTM-M05-02</x:v>
      </x:c>
      <x:c r="F4" s="59" t="str">
        <x:f>IF(E4&lt;&gt;"","已映射","未映射")</x:f>
        <x:v>已映射</x:v>
      </x:c>
      <x:c r="G4" s="59" t="str">
        <x:v>project_state.md §7 功能需求基线</x:v>
      </x:c>
      <x:c r="H4" s="60" t="str"/>
    </x:row>
    <x:row r="5" ht="32" customHeight="1">
      <x:c r="A5" s="58" t="str">
        <x:v>FR-USER-01</x:v>
      </x:c>
      <x:c r="B5" s="59" t="str">
        <x:v>FR</x:v>
      </x:c>
      <x:c r="C5" s="59" t="str">
        <x:v>M01 用户/认证</x:v>
      </x:c>
      <x:c r="D5" s="59" t="str">
        <x:v>用户可以查看和修改本人资料</x:v>
      </x:c>
      <x:c r="E5" s="59" t="str">
        <x:v>RTM-M01-03；RTM-M01-04</x:v>
      </x:c>
      <x:c r="F5" s="59" t="str">
        <x:f>IF(E5&lt;&gt;"","已映射","未映射")</x:f>
        <x:v>已映射</x:v>
      </x:c>
      <x:c r="G5" s="59" t="str">
        <x:v>project_state.md §7 功能需求基线</x:v>
      </x:c>
      <x:c r="H5" s="60" t="str"/>
    </x:row>
    <x:row r="6" ht="32" customHeight="1">
      <x:c r="A6" s="58" t="str">
        <x:v>FR-USER-02</x:v>
      </x:c>
      <x:c r="B6" s="59" t="str">
        <x:v>FR</x:v>
      </x:c>
      <x:c r="C6" s="59" t="str">
        <x:v>M01 用户/认证</x:v>
      </x:c>
      <x:c r="D6" s="59" t="str">
        <x:v>管理员可以查看用户列表和详情</x:v>
      </x:c>
      <x:c r="E6" s="59" t="str">
        <x:v>RTM-M08-01</x:v>
      </x:c>
      <x:c r="F6" s="59" t="str">
        <x:f>IF(E6&lt;&gt;"","已映射","未映射")</x:f>
        <x:v>已映射</x:v>
      </x:c>
      <x:c r="G6" s="59" t="str">
        <x:v>project_state.md §7 功能需求基线</x:v>
      </x:c>
      <x:c r="H6" s="60" t="str"/>
    </x:row>
    <x:row r="7" ht="32" customHeight="1">
      <x:c r="A7" s="58" t="str">
        <x:v>FR-USER-03</x:v>
      </x:c>
      <x:c r="B7" s="59" t="str">
        <x:v>FR</x:v>
      </x:c>
      <x:c r="C7" s="59" t="str">
        <x:v>M01 用户/认证</x:v>
      </x:c>
      <x:c r="D7" s="59" t="str">
        <x:v>管理员可以启用或禁用用户</x:v>
      </x:c>
      <x:c r="E7" s="59" t="str">
        <x:v>RTM-M08-02</x:v>
      </x:c>
      <x:c r="F7" s="59" t="str">
        <x:f>IF(E7&lt;&gt;"","已映射","未映射")</x:f>
        <x:v>已映射</x:v>
      </x:c>
      <x:c r="G7" s="59" t="str">
        <x:v>project_state.md §7 功能需求基线</x:v>
      </x:c>
      <x:c r="H7" s="60" t="str"/>
    </x:row>
    <x:row r="8" ht="32" customHeight="1">
      <x:c r="A8" s="58" t="str">
        <x:v>FR-USER-04</x:v>
      </x:c>
      <x:c r="B8" s="59" t="str">
        <x:v>FR</x:v>
      </x:c>
      <x:c r="C8" s="59" t="str">
        <x:v>M01 用户/认证</x:v>
      </x:c>
      <x:c r="D8" s="59" t="str">
        <x:v>管理员可以将符合条件的普通用户调整为救助人员</x:v>
      </x:c>
      <x:c r="E8" s="59" t="str">
        <x:v>RTM-M08-03</x:v>
      </x:c>
      <x:c r="F8" s="59" t="str">
        <x:f>IF(E8&lt;&gt;"","已映射","未映射")</x:f>
        <x:v>已映射</x:v>
      </x:c>
      <x:c r="G8" s="59" t="str">
        <x:v>project_state.md §7 功能需求基线</x:v>
      </x:c>
      <x:c r="H8" s="60" t="str"/>
    </x:row>
    <x:row r="9" ht="32" customHeight="1">
      <x:c r="A9" s="58" t="str">
        <x:v>FR-CLUE-01</x:v>
      </x:c>
      <x:c r="B9" s="59" t="str">
        <x:v>FR</x:v>
      </x:c>
      <x:c r="C9" s="59" t="str">
        <x:v>M02 救助线索</x:v>
      </x:c>
      <x:c r="D9" s="59" t="str">
        <x:v>USER / RESCUER 可以发布救助线索</x:v>
      </x:c>
      <x:c r="E9" s="59" t="str">
        <x:v>RTM-M02-01</x:v>
      </x:c>
      <x:c r="F9" s="59" t="str">
        <x:f>IF(E9&lt;&gt;"","已映射","未映射")</x:f>
        <x:v>已映射</x:v>
      </x:c>
      <x:c r="G9" s="59" t="str">
        <x:v>project_state.md §7 功能需求基线</x:v>
      </x:c>
      <x:c r="H9" s="60" t="str"/>
    </x:row>
    <x:row r="10" ht="32" customHeight="1">
      <x:c r="A10" s="58" t="str">
        <x:v>FR-CLUE-02</x:v>
      </x:c>
      <x:c r="B10" s="59" t="str">
        <x:v>FR</x:v>
      </x:c>
      <x:c r="C10" s="59" t="str">
        <x:v>M02 救助线索</x:v>
      </x:c>
      <x:c r="D10" s="59" t="str">
        <x:v>线索至少包含地点、时间、动物描述、图片、联系方式</x:v>
      </x:c>
      <x:c r="E10" s="59" t="str">
        <x:v>RTM-M02-01</x:v>
      </x:c>
      <x:c r="F10" s="59" t="str">
        <x:f>IF(E10&lt;&gt;"","已映射","未映射")</x:f>
        <x:v>已映射</x:v>
      </x:c>
      <x:c r="G10" s="59" t="str">
        <x:v>project_state.md §7 功能需求基线</x:v>
      </x:c>
      <x:c r="H10" s="60" t="str"/>
    </x:row>
    <x:row r="11" ht="32" customHeight="1">
      <x:c r="A11" s="58" t="str">
        <x:v>FR-CLUE-03</x:v>
      </x:c>
      <x:c r="B11" s="59" t="str">
        <x:v>FR</x:v>
      </x:c>
      <x:c r="C11" s="59" t="str">
        <x:v>M02 救助线索</x:v>
      </x:c>
      <x:c r="D11" s="59" t="str">
        <x:v>发布人可以查看本人线索和状态</x:v>
      </x:c>
      <x:c r="E11" s="59" t="str">
        <x:v>RTM-M02-02；RTM-M02-03</x:v>
      </x:c>
      <x:c r="F11" s="59" t="str">
        <x:f>IF(E11&lt;&gt;"","已映射","未映射")</x:f>
        <x:v>已映射</x:v>
      </x:c>
      <x:c r="G11" s="59" t="str">
        <x:v>project_state.md §7 功能需求基线</x:v>
      </x:c>
      <x:c r="H11" s="60" t="str"/>
    </x:row>
    <x:row r="12" ht="32" customHeight="1">
      <x:c r="A12" s="58" t="str">
        <x:v>FR-CLUE-04</x:v>
      </x:c>
      <x:c r="B12" s="59" t="str">
        <x:v>FR</x:v>
      </x:c>
      <x:c r="C12" s="59" t="str">
        <x:v>M02 救助线索</x:v>
      </x:c>
      <x:c r="D12" s="59" t="str">
        <x:v>发布人可以修改本人待审核线索</x:v>
      </x:c>
      <x:c r="E12" s="59" t="str">
        <x:v>RTM-M02-04；RTM-M02-05</x:v>
      </x:c>
      <x:c r="F12" s="59" t="str">
        <x:f>IF(E12&lt;&gt;"","已映射","未映射")</x:f>
        <x:v>已映射</x:v>
      </x:c>
      <x:c r="G12" s="59" t="str">
        <x:v>project_state.md §7 功能需求基线</x:v>
      </x:c>
      <x:c r="H12" s="60" t="str"/>
    </x:row>
    <x:row r="13" ht="32" customHeight="1">
      <x:c r="A13" s="58" t="str">
        <x:v>FR-CLUE-05</x:v>
      </x:c>
      <x:c r="B13" s="59" t="str">
        <x:v>FR</x:v>
      </x:c>
      <x:c r="C13" s="59" t="str">
        <x:v>M02 救助线索</x:v>
      </x:c>
      <x:c r="D13" s="59" t="str">
        <x:v>ADMIN 可以审核待审核线索</x:v>
      </x:c>
      <x:c r="E13" s="59" t="str">
        <x:v>RTM-M02-07</x:v>
      </x:c>
      <x:c r="F13" s="59" t="str">
        <x:f>IF(E13&lt;&gt;"","已映射","未映射")</x:f>
        <x:v>已映射</x:v>
      </x:c>
      <x:c r="G13" s="59" t="str">
        <x:v>project_state.md §7 功能需求基线</x:v>
      </x:c>
      <x:c r="H13" s="60" t="str"/>
    </x:row>
    <x:row r="14" ht="32" customHeight="1">
      <x:c r="A14" s="58" t="str">
        <x:v>FR-CLUE-06</x:v>
      </x:c>
      <x:c r="B14" s="59" t="str">
        <x:v>FR</x:v>
      </x:c>
      <x:c r="C14" s="59" t="str">
        <x:v>M02 救助线索</x:v>
      </x:c>
      <x:c r="D14" s="59" t="str">
        <x:v>审核可以通过或驳回</x:v>
      </x:c>
      <x:c r="E14" s="59" t="str">
        <x:v>RTM-M02-07</x:v>
      </x:c>
      <x:c r="F14" s="59" t="str">
        <x:f>IF(E14&lt;&gt;"","已映射","未映射")</x:f>
        <x:v>已映射</x:v>
      </x:c>
      <x:c r="G14" s="59" t="str">
        <x:v>project_state.md §7 功能需求基线</x:v>
      </x:c>
      <x:c r="H14" s="60" t="str"/>
    </x:row>
    <x:row r="15" ht="32" customHeight="1">
      <x:c r="A15" s="58" t="str">
        <x:v>FR-CLUE-07</x:v>
      </x:c>
      <x:c r="B15" s="59" t="str">
        <x:v>FR</x:v>
      </x:c>
      <x:c r="C15" s="59" t="str">
        <x:v>M02 救助线索</x:v>
      </x:c>
      <x:c r="D15" s="59" t="str">
        <x:v>驳回必须填写原因</x:v>
      </x:c>
      <x:c r="E15" s="59" t="str">
        <x:v>RTM-M02-07</x:v>
      </x:c>
      <x:c r="F15" s="59" t="str">
        <x:f>IF(E15&lt;&gt;"","已映射","未映射")</x:f>
        <x:v>已映射</x:v>
      </x:c>
      <x:c r="G15" s="59" t="str">
        <x:v>project_state.md §7 功能需求基线</x:v>
      </x:c>
      <x:c r="H15" s="60" t="str"/>
    </x:row>
    <x:row r="16" ht="32" customHeight="1">
      <x:c r="A16" s="58" t="str">
        <x:v>FR-CLUE-08</x:v>
      </x:c>
      <x:c r="B16" s="59" t="str">
        <x:v>FR</x:v>
      </x:c>
      <x:c r="C16" s="59" t="str">
        <x:v>M02 救助线索</x:v>
      </x:c>
      <x:c r="D16" s="59" t="str">
        <x:v>审核通过后进入 WAITING_ACCEPT</x:v>
      </x:c>
      <x:c r="E16" s="59" t="str">
        <x:v>RTM-M02-07</x:v>
      </x:c>
      <x:c r="F16" s="59" t="str">
        <x:f>IF(E16&lt;&gt;"","已映射","未映射")</x:f>
        <x:v>已映射</x:v>
      </x:c>
      <x:c r="G16" s="59" t="str">
        <x:v>project_state.md §7 功能需求基线</x:v>
      </x:c>
      <x:c r="H16" s="60" t="str"/>
    </x:row>
    <x:row r="17" ht="32" customHeight="1">
      <x:c r="A17" s="58" t="str">
        <x:v>FR-CLUE-09</x:v>
      </x:c>
      <x:c r="B17" s="59" t="str">
        <x:v>FR</x:v>
      </x:c>
      <x:c r="C17" s="59" t="str">
        <x:v>M02 救助线索</x:v>
      </x:c>
      <x:c r="D17" s="59" t="str">
        <x:v>系统保存审核人和审核时间</x:v>
      </x:c>
      <x:c r="E17" s="59" t="str">
        <x:v>RTM-M02-07</x:v>
      </x:c>
      <x:c r="F17" s="59" t="str">
        <x:f>IF(E17&lt;&gt;"","已映射","未映射")</x:f>
        <x:v>已映射</x:v>
      </x:c>
      <x:c r="G17" s="59" t="str">
        <x:v>project_state.md §7 功能需求基线</x:v>
      </x:c>
      <x:c r="H17" s="60" t="str"/>
    </x:row>
    <x:row r="18" ht="32" customHeight="1">
      <x:c r="A18" s="58" t="str">
        <x:v>FR-CLUE-10</x:v>
      </x:c>
      <x:c r="B18" s="59" t="str">
        <x:v>FR</x:v>
      </x:c>
      <x:c r="C18" s="59" t="str">
        <x:v>M02 救助线索</x:v>
      </x:c>
      <x:c r="D18" s="59" t="str">
        <x:v>发布人可以撤回本人处于 PENDING_REVIEW 的线索</x:v>
      </x:c>
      <x:c r="E18" s="59" t="str">
        <x:v>RTM-M02-06</x:v>
      </x:c>
      <x:c r="F18" s="59" t="str">
        <x:f>IF(E18&lt;&gt;"","已映射","未映射")</x:f>
        <x:v>已映射</x:v>
      </x:c>
      <x:c r="G18" s="59" t="str">
        <x:v>project_state.md §7 功能需求基线</x:v>
      </x:c>
      <x:c r="H18" s="60" t="str"/>
    </x:row>
    <x:row r="19" ht="32" customHeight="1">
      <x:c r="A19" s="58" t="str">
        <x:v>FR-RESCUE-01</x:v>
      </x:c>
      <x:c r="B19" s="59" t="str">
        <x:v>FR</x:v>
      </x:c>
      <x:c r="C19" s="59" t="str">
        <x:v>M03 救助任务</x:v>
      </x:c>
      <x:c r="D19" s="59" t="str">
        <x:v>RESCUER 可以查看 WAITING_ACCEPT 线索</x:v>
      </x:c>
      <x:c r="E19" s="59" t="str">
        <x:v>RTM-M03-01</x:v>
      </x:c>
      <x:c r="F19" s="59" t="str">
        <x:f>IF(E19&lt;&gt;"","已映射","未映射")</x:f>
        <x:v>已映射</x:v>
      </x:c>
      <x:c r="G19" s="59" t="str">
        <x:v>project_state.md §7 功能需求基线</x:v>
      </x:c>
      <x:c r="H19" s="60" t="str"/>
    </x:row>
    <x:row r="20" ht="32" customHeight="1">
      <x:c r="A20" s="58" t="str">
        <x:v>FR-RESCUE-02</x:v>
      </x:c>
      <x:c r="B20" s="59" t="str">
        <x:v>FR</x:v>
      </x:c>
      <x:c r="C20" s="59" t="str">
        <x:v>M03 救助任务</x:v>
      </x:c>
      <x:c r="D20" s="59" t="str">
        <x:v>RESCUER 可以接取尚未被其他人接取的任务</x:v>
      </x:c>
      <x:c r="E20" s="59" t="str">
        <x:v>RTM-M03-02</x:v>
      </x:c>
      <x:c r="F20" s="59" t="str">
        <x:f>IF(E20&lt;&gt;"","已映射","未映射")</x:f>
        <x:v>已映射</x:v>
      </x:c>
      <x:c r="G20" s="59" t="str">
        <x:v>project_state.md §7 功能需求基线</x:v>
      </x:c>
      <x:c r="H20" s="60" t="str"/>
    </x:row>
    <x:row r="21" ht="32" customHeight="1">
      <x:c r="A21" s="58" t="str">
        <x:v>FR-RESCUE-03</x:v>
      </x:c>
      <x:c r="B21" s="59" t="str">
        <x:v>FR</x:v>
      </x:c>
      <x:c r="C21" s="59" t="str">
        <x:v>M03 救助任务</x:v>
      </x:c>
      <x:c r="D21" s="59" t="str">
        <x:v>同一时刻一条线索最多只有一个当前有效救助任务</x:v>
      </x:c>
      <x:c r="E21" s="59" t="str">
        <x:v>RTM-M03-02</x:v>
      </x:c>
      <x:c r="F21" s="59" t="str">
        <x:f>IF(E21&lt;&gt;"","已映射","未映射")</x:f>
        <x:v>已映射</x:v>
      </x:c>
      <x:c r="G21" s="59" t="str">
        <x:v>project_state.md §7 功能需求基线</x:v>
      </x:c>
      <x:c r="H21" s="60" t="str"/>
    </x:row>
    <x:row r="22" ht="32" customHeight="1">
      <x:c r="A22" s="58" t="str">
        <x:v>FR-RESCUE-04</x:v>
      </x:c>
      <x:c r="B22" s="59" t="str">
        <x:v>FR</x:v>
      </x:c>
      <x:c r="C22" s="59" t="str">
        <x:v>M03 救助任务</x:v>
      </x:c>
      <x:c r="D22" s="59" t="str">
        <x:v>RESCUER 可以将任务从 WAITING_START 更新为 IN_PROGRESS</x:v>
      </x:c>
      <x:c r="E22" s="59" t="str">
        <x:v>RTM-M03-04</x:v>
      </x:c>
      <x:c r="F22" s="59" t="str">
        <x:f>IF(E22&lt;&gt;"","已映射","未映射")</x:f>
        <x:v>已映射</x:v>
      </x:c>
      <x:c r="G22" s="59" t="str">
        <x:v>project_state.md §7 功能需求基线</x:v>
      </x:c>
      <x:c r="H22" s="60" t="str"/>
    </x:row>
    <x:row r="23" ht="32" customHeight="1">
      <x:c r="A23" s="58" t="str">
        <x:v>FR-RESCUE-05</x:v>
      </x:c>
      <x:c r="B23" s="59" t="str">
        <x:v>FR</x:v>
      </x:c>
      <x:c r="C23" s="59" t="str">
        <x:v>M03 救助任务</x:v>
      </x:c>
      <x:c r="D23" s="59" t="str">
        <x:v>RESCUER 可以填写多条救助记录</x:v>
      </x:c>
      <x:c r="E23" s="59" t="str">
        <x:v>RTM-M03-05；RTM-M03-06</x:v>
      </x:c>
      <x:c r="F23" s="59" t="str">
        <x:f>IF(E23&lt;&gt;"","已映射","未映射")</x:f>
        <x:v>已映射</x:v>
      </x:c>
      <x:c r="G23" s="59" t="str">
        <x:v>project_state.md §7 功能需求基线</x:v>
      </x:c>
      <x:c r="H23" s="60" t="str"/>
    </x:row>
    <x:row r="24" ht="32" customHeight="1">
      <x:c r="A24" s="58" t="str">
        <x:v>FR-RESCUE-06</x:v>
      </x:c>
      <x:c r="B24" s="59" t="str">
        <x:v>FR</x:v>
      </x:c>
      <x:c r="C24" s="59" t="str">
        <x:v>M03 救助任务</x:v>
      </x:c>
      <x:c r="D24" s="59" t="str">
        <x:v>RESCUER 可以标记 SUCCESS 或 FAILED</x:v>
      </x:c>
      <x:c r="E24" s="59" t="str">
        <x:v>RTM-M03-07；RTM-M03-08</x:v>
      </x:c>
      <x:c r="F24" s="59" t="str">
        <x:f>IF(E24&lt;&gt;"","已映射","未映射")</x:f>
        <x:v>已映射</x:v>
      </x:c>
      <x:c r="G24" s="59" t="str">
        <x:v>project_state.md §7 功能需求基线</x:v>
      </x:c>
      <x:c r="H24" s="60" t="str"/>
    </x:row>
    <x:row r="25" ht="32" customHeight="1">
      <x:c r="A25" s="58" t="str">
        <x:v>FR-RESCUE-07</x:v>
      </x:c>
      <x:c r="B25" s="59" t="str">
        <x:v>FR</x:v>
      </x:c>
      <x:c r="C25" s="59" t="str">
        <x:v>M03 救助任务</x:v>
      </x:c>
      <x:c r="D25" s="59" t="str">
        <x:v>FAILED 必须填写失败原因</x:v>
      </x:c>
      <x:c r="E25" s="59" t="str">
        <x:v>RTM-M03-07</x:v>
      </x:c>
      <x:c r="F25" s="59" t="str">
        <x:f>IF(E25&lt;&gt;"","已映射","未映射")</x:f>
        <x:v>已映射</x:v>
      </x:c>
      <x:c r="G25" s="59" t="str">
        <x:v>project_state.md §7 功能需求基线</x:v>
      </x:c>
      <x:c r="H25" s="60" t="str"/>
    </x:row>
    <x:row r="26" ht="32" customHeight="1">
      <x:c r="A26" s="58" t="str">
        <x:v>FR-RESCUE-08</x:v>
      </x:c>
      <x:c r="B26" s="59" t="str">
        <x:v>FR</x:v>
      </x:c>
      <x:c r="C26" s="59" t="str">
        <x:v>M03 救助任务</x:v>
      </x:c>
      <x:c r="D26" s="59" t="str">
        <x:v>SUCCESS 后可以建立一个或多个动物档案</x:v>
      </x:c>
      <x:c r="E26" s="59" t="str">
        <x:v>RTM-M03-08</x:v>
      </x:c>
      <x:c r="F26" s="59" t="str">
        <x:f>IF(E26&lt;&gt;"","已映射","未映射")</x:f>
        <x:v>已映射</x:v>
      </x:c>
      <x:c r="G26" s="59" t="str">
        <x:v>project_state.md §7 功能需求基线</x:v>
      </x:c>
      <x:c r="H26" s="60" t="str"/>
    </x:row>
    <x:row r="27" ht="32" customHeight="1">
      <x:c r="A27" s="58" t="str">
        <x:v>FR-RESCUE-09</x:v>
      </x:c>
      <x:c r="B27" s="59" t="str">
        <x:v>FR</x:v>
      </x:c>
      <x:c r="C27" s="59" t="str">
        <x:v>M03 救助任务</x:v>
      </x:c>
      <x:c r="D27" s="59" t="str">
        <x:v>保存关键状态变更的操作人和时间</x:v>
      </x:c>
      <x:c r="E27" s="59" t="str">
        <x:v>RTM-M03-04；RTM-M03-07；RTM-M03-08；RTM-M03-09</x:v>
      </x:c>
      <x:c r="F27" s="59" t="str">
        <x:f>IF(E27&lt;&gt;"","已映射","未映射")</x:f>
        <x:v>已映射</x:v>
      </x:c>
      <x:c r="G27" s="59" t="str">
        <x:v>project_state.md §7 功能需求基线</x:v>
      </x:c>
      <x:c r="H27" s="60" t="str"/>
    </x:row>
    <x:row r="28" ht="32" customHeight="1">
      <x:c r="A28" s="58" t="str">
        <x:v>FR-RESCUE-10</x:v>
      </x:c>
      <x:c r="B28" s="59" t="str">
        <x:v>FR</x:v>
      </x:c>
      <x:c r="C28" s="59" t="str">
        <x:v>M03 救助任务</x:v>
      </x:c>
      <x:c r="D28" s="59" t="str">
        <x:v>ADMIN 可以取消异常任务，并填写取消原因</x:v>
      </x:c>
      <x:c r="E28" s="59" t="str">
        <x:v>RTM-M03-09；RTM-M08-04</x:v>
      </x:c>
      <x:c r="F28" s="59" t="str">
        <x:f>IF(E28&lt;&gt;"","已映射","未映射")</x:f>
        <x:v>已映射</x:v>
      </x:c>
      <x:c r="G28" s="59" t="str">
        <x:v>project_state.md §7 功能需求基线</x:v>
      </x:c>
      <x:c r="H28" s="60" t="str"/>
    </x:row>
    <x:row r="29" ht="32" customHeight="1">
      <x:c r="A29" s="58" t="str">
        <x:v>FR-RESCUE-11</x:v>
      </x:c>
      <x:c r="B29" s="59" t="str">
        <x:v>FR</x:v>
      </x:c>
      <x:c r="C29" s="59" t="str">
        <x:v>M03 救助任务</x:v>
      </x:c>
      <x:c r="D29" s="59" t="str">
        <x:v>FAILED 后 ADMIN 决定重新开放线索或关闭线索</x:v>
      </x:c>
      <x:c r="E29" s="59" t="str">
        <x:v>RTM-M03-10；RTM-M08-04</x:v>
      </x:c>
      <x:c r="F29" s="59" t="str">
        <x:f>IF(E29&lt;&gt;"","已映射","未映射")</x:f>
        <x:v>已映射</x:v>
      </x:c>
      <x:c r="G29" s="59" t="str">
        <x:v>project_state.md §7 功能需求基线</x:v>
      </x:c>
      <x:c r="H29" s="60" t="str"/>
    </x:row>
    <x:row r="30" ht="32" customHeight="1">
      <x:c r="A30" s="58" t="str">
        <x:v>FR-ANIMAL-01</x:v>
      </x:c>
      <x:c r="B30" s="59" t="str">
        <x:v>FR</x:v>
      </x:c>
      <x:c r="C30" s="59" t="str">
        <x:v>M04 动物档案</x:v>
      </x:c>
      <x:c r="D30" s="59" t="str">
        <x:v>救助成功后可以创建动物档案</x:v>
      </x:c>
      <x:c r="E30" s="59" t="str">
        <x:v>RTM-M03-08</x:v>
      </x:c>
      <x:c r="F30" s="59" t="str">
        <x:f>IF(E30&lt;&gt;"","已映射","未映射")</x:f>
        <x:v>已映射</x:v>
      </x:c>
      <x:c r="G30" s="59" t="str">
        <x:v>project_state.md §7 功能需求基线</x:v>
      </x:c>
      <x:c r="H30" s="60" t="str"/>
    </x:row>
    <x:row r="31" ht="32" customHeight="1">
      <x:c r="A31" s="58" t="str">
        <x:v>FR-ANIMAL-02</x:v>
      </x:c>
      <x:c r="B31" s="59" t="str">
        <x:v>FR</x:v>
      </x:c>
      <x:c r="C31" s="59" t="str">
        <x:v>M04 动物档案</x:v>
      </x:c>
      <x:c r="D31" s="59" t="str">
        <x:v>动物档案包含名称、种类、性别、年龄估计、毛色、健康情况等</x:v>
      </x:c>
      <x:c r="E31" s="59" t="str">
        <x:v>RTM-M04-02；RTM-M04-04</x:v>
      </x:c>
      <x:c r="F31" s="59" t="str">
        <x:f>IF(E31&lt;&gt;"","已映射","未映射")</x:f>
        <x:v>已映射</x:v>
      </x:c>
      <x:c r="G31" s="59" t="str">
        <x:v>project_state.md §7 功能需求基线</x:v>
      </x:c>
      <x:c r="H31" s="60" t="str"/>
    </x:row>
    <x:row r="32" ht="32" customHeight="1">
      <x:c r="A32" s="58" t="str">
        <x:v>FR-ANIMAL-03</x:v>
      </x:c>
      <x:c r="B32" s="59" t="str">
        <x:v>FR</x:v>
      </x:c>
      <x:c r="C32" s="59" t="str">
        <x:v>M04 动物档案</x:v>
      </x:c>
      <x:c r="D32" s="59" t="str">
        <x:v>一个动物可以关联多张图片</x:v>
      </x:c>
      <x:c r="E32" s="59" t="str">
        <x:v>RTM-M04-02；RTM-M04-05</x:v>
      </x:c>
      <x:c r="F32" s="59" t="str">
        <x:f>IF(E32&lt;&gt;"","已映射","未映射")</x:f>
        <x:v>已映射</x:v>
      </x:c>
      <x:c r="G32" s="59" t="str">
        <x:v>project_state.md §7 功能需求基线</x:v>
      </x:c>
      <x:c r="H32" s="60" t="str"/>
    </x:row>
    <x:row r="33" ht="32" customHeight="1">
      <x:c r="A33" s="58" t="str">
        <x:v>FR-ANIMAL-04</x:v>
      </x:c>
      <x:c r="B33" s="59" t="str">
        <x:v>FR</x:v>
      </x:c>
      <x:c r="C33" s="59" t="str">
        <x:v>M04 动物档案</x:v>
      </x:c>
      <x:c r="D33" s="59" t="str">
        <x:v>RESCUER / ADMIN 可以添加健康记录</x:v>
      </x:c>
      <x:c r="E33" s="59" t="str">
        <x:v>RTM-M04-07</x:v>
      </x:c>
      <x:c r="F33" s="59" t="str">
        <x:f>IF(E33&lt;&gt;"","已映射","未映射")</x:f>
        <x:v>已映射</x:v>
      </x:c>
      <x:c r="G33" s="59" t="str">
        <x:v>project_state.md §7 功能需求基线</x:v>
      </x:c>
      <x:c r="H33" s="60" t="str"/>
    </x:row>
    <x:row r="34" ht="32" customHeight="1">
      <x:c r="A34" s="58" t="str">
        <x:v>FR-ANIMAL-05</x:v>
      </x:c>
      <x:c r="B34" s="59" t="str">
        <x:v>FR</x:v>
      </x:c>
      <x:c r="C34" s="59" t="str">
        <x:v>M04 动物档案</x:v>
      </x:c>
      <x:c r="D34" s="59" t="str">
        <x:v>健康记录保存记录人和记录时间</x:v>
      </x:c>
      <x:c r="E34" s="59" t="str">
        <x:v>RTM-M04-06；RTM-M04-07</x:v>
      </x:c>
      <x:c r="F34" s="59" t="str">
        <x:f>IF(E34&lt;&gt;"","已映射","未映射")</x:f>
        <x:v>已映射</x:v>
      </x:c>
      <x:c r="G34" s="59" t="str">
        <x:v>project_state.md §7 功能需求基线</x:v>
      </x:c>
      <x:c r="H34" s="60" t="str"/>
    </x:row>
    <x:row r="35" ht="32" customHeight="1">
      <x:c r="A35" s="58" t="str">
        <x:v>FR-ANIMAL-06</x:v>
      </x:c>
      <x:c r="B35" s="59" t="str">
        <x:v>FR</x:v>
      </x:c>
      <x:c r="C35" s="59" t="str">
        <x:v>M04 动物档案</x:v>
      </x:c>
      <x:c r="D35" s="59" t="str">
        <x:v>符合条件的动物可以转为 AVAILABLE</x:v>
      </x:c>
      <x:c r="E35" s="59" t="str">
        <x:v>RTM-M04-08</x:v>
      </x:c>
      <x:c r="F35" s="59" t="str">
        <x:f>IF(E35&lt;&gt;"","已映射","未映射")</x:f>
        <x:v>已映射</x:v>
      </x:c>
      <x:c r="G35" s="59" t="str">
        <x:v>project_state.md §7 功能需求基线</x:v>
      </x:c>
      <x:c r="H35" s="60" t="str"/>
    </x:row>
    <x:row r="36" ht="32" customHeight="1">
      <x:c r="A36" s="58" t="str">
        <x:v>FR-ANIMAL-07</x:v>
      </x:c>
      <x:c r="B36" s="59" t="str">
        <x:v>FR</x:v>
      </x:c>
      <x:c r="C36" s="59" t="str">
        <x:v>M04 动物档案</x:v>
      </x:c>
      <x:c r="D36" s="59" t="str">
        <x:v>AVAILABLE 动物可以暂停领养</x:v>
      </x:c>
      <x:c r="E36" s="59" t="str">
        <x:v>RTM-M04-08</x:v>
      </x:c>
      <x:c r="F36" s="59" t="str">
        <x:f>IF(E36&lt;&gt;"","已映射","未映射")</x:f>
        <x:v>已映射</x:v>
      </x:c>
      <x:c r="G36" s="59" t="str">
        <x:v>project_state.md §7 功能需求基线</x:v>
      </x:c>
      <x:c r="H36" s="60" t="str"/>
    </x:row>
    <x:row r="37" ht="32" customHeight="1">
      <x:c r="A37" s="58" t="str">
        <x:v>FR-ANIMAL-08</x:v>
      </x:c>
      <x:c r="B37" s="59" t="str">
        <x:v>FR</x:v>
      </x:c>
      <x:c r="C37" s="59" t="str">
        <x:v>M04 动物档案</x:v>
      </x:c>
      <x:c r="D37" s="59" t="str">
        <x:v>ADOPTED 动物不能再次接受领养申请</x:v>
      </x:c>
      <x:c r="E37" s="59" t="str">
        <x:v>RTM-M04-08</x:v>
      </x:c>
      <x:c r="F37" s="59" t="str">
        <x:f>IF(E37&lt;&gt;"","已映射","未映射")</x:f>
        <x:v>已映射</x:v>
      </x:c>
      <x:c r="G37" s="59" t="str">
        <x:v>project_state.md §7 功能需求基线</x:v>
      </x:c>
      <x:c r="H37" s="60" t="str"/>
    </x:row>
    <x:row r="38" ht="32" customHeight="1">
      <x:c r="A38" s="58" t="str">
        <x:v>FR-ANIMAL-09</x:v>
      </x:c>
      <x:c r="B38" s="59" t="str">
        <x:v>FR</x:v>
      </x:c>
      <x:c r="C38" s="59" t="str">
        <x:v>M04 动物档案</x:v>
      </x:c>
      <x:c r="D38" s="59" t="str">
        <x:v>普通访问端的公开领养列表只展示 AVAILABLE 状态的动物档案</x:v>
      </x:c>
      <x:c r="E38" s="59" t="str">
        <x:v>RTM-M04-01</x:v>
      </x:c>
      <x:c r="F38" s="59" t="str">
        <x:f>IF(E38&lt;&gt;"","已映射","未映射")</x:f>
        <x:v>已映射</x:v>
      </x:c>
      <x:c r="G38" s="59" t="str">
        <x:v>project_state.md §7 功能需求基线</x:v>
      </x:c>
      <x:c r="H38" s="60" t="str"/>
    </x:row>
    <x:row r="39" ht="32" customHeight="1">
      <x:c r="A39" s="58" t="str">
        <x:v>FR-ADOPT-01</x:v>
      </x:c>
      <x:c r="B39" s="59" t="str">
        <x:v>FR</x:v>
      </x:c>
      <x:c r="C39" s="59" t="str">
        <x:v>M05 领养管理</x:v>
      </x:c>
      <x:c r="D39" s="59" t="str">
        <x:v>USER 和 RESCUER 均可以对 AVAILABLE 动物提交领养申请，包括由申请人本人负责救助的动物</x:v>
      </x:c>
      <x:c r="E39" s="59" t="str">
        <x:v>RTM-M05-01</x:v>
      </x:c>
      <x:c r="F39" s="59" t="str">
        <x:f>IF(E39&lt;&gt;"","已映射","未映射")</x:f>
        <x:v>已映射</x:v>
      </x:c>
      <x:c r="G39" s="59" t="str">
        <x:v>project_state.md §7 功能需求基线</x:v>
      </x:c>
      <x:c r="H39" s="60" t="str"/>
    </x:row>
    <x:row r="40" ht="32" customHeight="1">
      <x:c r="A40" s="58" t="str">
        <x:v>FR-ADOPT-02</x:v>
      </x:c>
      <x:c r="B40" s="59" t="str">
        <x:v>FR</x:v>
      </x:c>
      <x:c r="C40" s="59" t="str">
        <x:v>M05 领养管理</x:v>
      </x:c>
      <x:c r="D40" s="59" t="str">
        <x:v>申请包含领养原因、居住情况、家庭成员、养宠经验、联系方式等</x:v>
      </x:c>
      <x:c r="E40" s="59" t="str">
        <x:v>RTM-M05-01</x:v>
      </x:c>
      <x:c r="F40" s="59" t="str">
        <x:f>IF(E40&lt;&gt;"","已映射","未映射")</x:f>
        <x:v>已映射</x:v>
      </x:c>
      <x:c r="G40" s="59" t="str">
        <x:v>project_state.md §7 功能需求基线</x:v>
      </x:c>
      <x:c r="H40" s="60" t="str"/>
    </x:row>
    <x:row r="41" ht="32" customHeight="1">
      <x:c r="A41" s="58" t="str">
        <x:v>FR-ADOPT-03</x:v>
      </x:c>
      <x:c r="B41" s="59" t="str">
        <x:v>FR</x:v>
      </x:c>
      <x:c r="C41" s="59" t="str">
        <x:v>M05 领养管理</x:v>
      </x:c>
      <x:c r="D41" s="59" t="str">
        <x:v>同一用户对同一动物最多只能提交一份领养申请</x:v>
      </x:c>
      <x:c r="E41" s="59" t="str">
        <x:v>RTM-M05-01</x:v>
      </x:c>
      <x:c r="F41" s="59" t="str">
        <x:f>IF(E41&lt;&gt;"","已映射","未映射")</x:f>
        <x:v>已映射</x:v>
      </x:c>
      <x:c r="G41" s="59" t="str">
        <x:v>project_state.md §7 功能需求基线</x:v>
      </x:c>
      <x:c r="H41" s="60" t="str"/>
    </x:row>
    <x:row r="42" ht="32" customHeight="1">
      <x:c r="A42" s="58" t="str">
        <x:v>FR-ADOPT-04</x:v>
      </x:c>
      <x:c r="B42" s="59" t="str">
        <x:v>FR</x:v>
      </x:c>
      <x:c r="C42" s="59" t="str">
        <x:v>M05 领养管理</x:v>
      </x:c>
      <x:c r="D42" s="59" t="str">
        <x:v>申请人可以查看本人申请和审核状态</x:v>
      </x:c>
      <x:c r="E42" s="59" t="str">
        <x:v>RTM-M05-02</x:v>
      </x:c>
      <x:c r="F42" s="59" t="str">
        <x:f>IF(E42&lt;&gt;"","已映射","未映射")</x:f>
        <x:v>已映射</x:v>
      </x:c>
      <x:c r="G42" s="59" t="str">
        <x:v>project_state.md §7 功能需求基线</x:v>
      </x:c>
      <x:c r="H42" s="60" t="str"/>
    </x:row>
    <x:row r="43" ht="32" customHeight="1">
      <x:c r="A43" s="58" t="str">
        <x:v>FR-ADOPT-05</x:v>
      </x:c>
      <x:c r="B43" s="59" t="str">
        <x:v>FR</x:v>
      </x:c>
      <x:c r="C43" s="59" t="str">
        <x:v>M05 领养管理</x:v>
      </x:c>
      <x:c r="D43" s="59" t="str">
        <x:v>申请人可以在审核前撤回本人申请</x:v>
      </x:c>
      <x:c r="E43" s="59" t="str">
        <x:v>RTM-M05-03</x:v>
      </x:c>
      <x:c r="F43" s="59" t="str">
        <x:f>IF(E43&lt;&gt;"","已映射","未映射")</x:f>
        <x:v>已映射</x:v>
      </x:c>
      <x:c r="G43" s="59" t="str">
        <x:v>project_state.md §7 功能需求基线</x:v>
      </x:c>
      <x:c r="H43" s="60" t="str"/>
    </x:row>
    <x:row r="44" ht="32" customHeight="1">
      <x:c r="A44" s="58" t="str">
        <x:v>FR-ADOPT-06</x:v>
      </x:c>
      <x:c r="B44" s="59" t="str">
        <x:v>FR</x:v>
      </x:c>
      <x:c r="C44" s="59" t="str">
        <x:v>M05 领养管理</x:v>
      </x:c>
      <x:c r="D44" s="59" t="str">
        <x:v>ADMIN 可以查看待审核申请</x:v>
      </x:c>
      <x:c r="E44" s="59" t="str">
        <x:v>RTM-M05-04；RTM-M08-04</x:v>
      </x:c>
      <x:c r="F44" s="59" t="str">
        <x:f>IF(E44&lt;&gt;"","已映射","未映射")</x:f>
        <x:v>已映射</x:v>
      </x:c>
      <x:c r="G44" s="59" t="str">
        <x:v>project_state.md §7 功能需求基线</x:v>
      </x:c>
      <x:c r="H44" s="60" t="str"/>
    </x:row>
    <x:row r="45" ht="32" customHeight="1">
      <x:c r="A45" s="58" t="str">
        <x:v>FR-ADOPT-07</x:v>
      </x:c>
      <x:c r="B45" s="59" t="str">
        <x:v>FR</x:v>
      </x:c>
      <x:c r="C45" s="59" t="str">
        <x:v>M05 领养管理</x:v>
      </x:c>
      <x:c r="D45" s="59" t="str">
        <x:v>ADMIN 可以批准或拒绝申请</x:v>
      </x:c>
      <x:c r="E45" s="59" t="str">
        <x:v>RTM-M05-04</x:v>
      </x:c>
      <x:c r="F45" s="59" t="str">
        <x:f>IF(E45&lt;&gt;"","已映射","未映射")</x:f>
        <x:v>已映射</x:v>
      </x:c>
      <x:c r="G45" s="59" t="str">
        <x:v>project_state.md §7 功能需求基线</x:v>
      </x:c>
      <x:c r="H45" s="60" t="str"/>
    </x:row>
    <x:row r="46" ht="32" customHeight="1">
      <x:c r="A46" s="58" t="str">
        <x:v>FR-ADOPT-08</x:v>
      </x:c>
      <x:c r="B46" s="59" t="str">
        <x:v>FR</x:v>
      </x:c>
      <x:c r="C46" s="59" t="str">
        <x:v>M05 领养管理</x:v>
      </x:c>
      <x:c r="D46" s="59" t="str">
        <x:v>拒绝必须填写原因</x:v>
      </x:c>
      <x:c r="E46" s="59" t="str">
        <x:v>RTM-M05-04</x:v>
      </x:c>
      <x:c r="F46" s="59" t="str">
        <x:f>IF(E46&lt;&gt;"","已映射","未映射")</x:f>
        <x:v>已映射</x:v>
      </x:c>
      <x:c r="G46" s="59" t="str">
        <x:v>project_state.md §7 功能需求基线</x:v>
      </x:c>
      <x:c r="H46" s="60" t="str"/>
    </x:row>
    <x:row r="47" ht="32" customHeight="1">
      <x:c r="A47" s="58" t="str">
        <x:v>FR-ADOPT-09</x:v>
      </x:c>
      <x:c r="B47" s="59" t="str">
        <x:v>FR</x:v>
      </x:c>
      <x:c r="C47" s="59" t="str">
        <x:v>M05 领养管理</x:v>
      </x:c>
      <x:c r="D47" s="59" t="str">
        <x:v>批准后生成 AdoptionRecord</x:v>
      </x:c>
      <x:c r="E47" s="59" t="str">
        <x:v>RTM-M05-05</x:v>
      </x:c>
      <x:c r="F47" s="59" t="str">
        <x:f>IF(E47&lt;&gt;"","已映射","未映射")</x:f>
        <x:v>已映射</x:v>
      </x:c>
      <x:c r="G47" s="59" t="str">
        <x:v>project_state.md §7 功能需求基线</x:v>
      </x:c>
      <x:c r="H47" s="60" t="str"/>
    </x:row>
    <x:row r="48" ht="32" customHeight="1">
      <x:c r="A48" s="58" t="str">
        <x:v>FR-ADOPT-10</x:v>
      </x:c>
      <x:c r="B48" s="59" t="str">
        <x:v>FR</x:v>
      </x:c>
      <x:c r="C48" s="59" t="str">
        <x:v>M05 领养管理</x:v>
      </x:c>
      <x:c r="D48" s="59" t="str">
        <x:v>一份申请通过后，同动物其他 PENDING 申请转为 INVALIDATED</x:v>
      </x:c>
      <x:c r="E48" s="59" t="str">
        <x:v>RTM-M05-05</x:v>
      </x:c>
      <x:c r="F48" s="59" t="str">
        <x:f>IF(E48&lt;&gt;"","已映射","未映射")</x:f>
        <x:v>已映射</x:v>
      </x:c>
      <x:c r="G48" s="59" t="str">
        <x:v>project_state.md §7 功能需求基线</x:v>
      </x:c>
      <x:c r="H48" s="60" t="str"/>
    </x:row>
    <x:row r="49" ht="32" customHeight="1">
      <x:c r="A49" s="58" t="str">
        <x:v>FR-ADOPT-11</x:v>
      </x:c>
      <x:c r="B49" s="59" t="str">
        <x:v>FR</x:v>
      </x:c>
      <x:c r="C49" s="59" t="str">
        <x:v>M05 领养管理</x:v>
      </x:c>
      <x:c r="D49" s="59" t="str">
        <x:v>批准后动物自动转为 ADOPTED</x:v>
      </x:c>
      <x:c r="E49" s="59" t="str">
        <x:v>RTM-M05-05</x:v>
      </x:c>
      <x:c r="F49" s="59" t="str">
        <x:f>IF(E49&lt;&gt;"","已映射","未映射")</x:f>
        <x:v>已映射</x:v>
      </x:c>
      <x:c r="G49" s="59" t="str">
        <x:v>project_state.md §7 功能需求基线</x:v>
      </x:c>
      <x:c r="H49" s="60" t="str"/>
    </x:row>
    <x:row r="50" ht="32" customHeight="1">
      <x:c r="A50" s="58" t="str">
        <x:v>FR-ADOPT-12</x:v>
      </x:c>
      <x:c r="B50" s="59" t="str">
        <x:v>FR</x:v>
      </x:c>
      <x:c r="C50" s="59" t="str">
        <x:v>M05 领养管理</x:v>
      </x:c>
      <x:c r="D50" s="59" t="str">
        <x:v>ADOPTED 动物不得继续接受申请</x:v>
      </x:c>
      <x:c r="E50" s="59" t="str">
        <x:v>RTM-M05-05</x:v>
      </x:c>
      <x:c r="F50" s="59" t="str">
        <x:f>IF(E50&lt;&gt;"","已映射","未映射")</x:f>
        <x:v>已映射</x:v>
      </x:c>
      <x:c r="G50" s="59" t="str">
        <x:v>project_state.md §7 功能需求基线</x:v>
      </x:c>
      <x:c r="H50" s="60" t="str"/>
    </x:row>
    <x:row r="51" ht="32" customHeight="1">
      <x:c r="A51" s="58" t="str">
        <x:v>FR-ADOPT-13</x:v>
      </x:c>
      <x:c r="B51" s="59" t="str">
        <x:v>FR</x:v>
      </x:c>
      <x:c r="C51" s="59" t="str">
        <x:v>M05 领养管理</x:v>
      </x:c>
      <x:c r="D51" s="59" t="str">
        <x:v>保存审核人和审核时间</x:v>
      </x:c>
      <x:c r="E51" s="59" t="str">
        <x:v>RTM-M05-04</x:v>
      </x:c>
      <x:c r="F51" s="59" t="str">
        <x:f>IF(E51&lt;&gt;"","已映射","未映射")</x:f>
        <x:v>已映射</x:v>
      </x:c>
      <x:c r="G51" s="59" t="str">
        <x:v>project_state.md §7 功能需求基线</x:v>
      </x:c>
      <x:c r="H51" s="60" t="str"/>
    </x:row>
    <x:row r="52" ht="32" customHeight="1">
      <x:c r="A52" s="58" t="str">
        <x:v>FR-ADOPT-14</x:v>
      </x:c>
      <x:c r="B52" s="59" t="str">
        <x:v>FR</x:v>
      </x:c>
      <x:c r="C52" s="59" t="str">
        <x:v>M05 领养管理</x:v>
      </x:c>
      <x:c r="D52" s="59" t="str">
        <x:v>USER 和 RESCUER 可以查看属于本人的历史领养记录</x:v>
      </x:c>
      <x:c r="E52" s="59" t="str">
        <x:v>RTM-M05-06；RTM-M08-04</x:v>
      </x:c>
      <x:c r="F52" s="59" t="str">
        <x:f>IF(E52&lt;&gt;"","已映射","未映射")</x:f>
        <x:v>已映射</x:v>
      </x:c>
      <x:c r="G52" s="59" t="str">
        <x:v>project_state.md §7 功能需求基线</x:v>
      </x:c>
      <x:c r="H52" s="60" t="str"/>
    </x:row>
    <x:row r="53" ht="32" customHeight="1">
      <x:c r="A53" s="58" t="str">
        <x:v>FR-FOLLOW-01</x:v>
      </x:c>
      <x:c r="B53" s="59" t="str">
        <x:v>FR</x:v>
      </x:c>
      <x:c r="C53" s="59" t="str">
        <x:v>M06 回访管理</x:v>
      </x:c>
      <x:c r="D53" s="59" t="str">
        <x:v>已完成领养的 USER 或 RESCUER 可以针对本人领养记录提交回访</x:v>
      </x:c>
      <x:c r="E53" s="59" t="str">
        <x:v>RTM-M06-01</x:v>
      </x:c>
      <x:c r="F53" s="59" t="str">
        <x:f>IF(E53&lt;&gt;"","已映射","未映射")</x:f>
        <x:v>已映射</x:v>
      </x:c>
      <x:c r="G53" s="59" t="str">
        <x:v>project_state.md §7 功能需求基线</x:v>
      </x:c>
      <x:c r="H53" s="60" t="str"/>
    </x:row>
    <x:row r="54" ht="32" customHeight="1">
      <x:c r="A54" s="58" t="str">
        <x:v>FR-FOLLOW-02</x:v>
      </x:c>
      <x:c r="B54" s="59" t="str">
        <x:v>FR</x:v>
      </x:c>
      <x:c r="C54" s="59" t="str">
        <x:v>M06 回访管理</x:v>
      </x:c>
      <x:c r="D54" s="59" t="str">
        <x:v>回访可以包含文字、健康情况和生活照片</x:v>
      </x:c>
      <x:c r="E54" s="59" t="str">
        <x:v>RTM-M06-01</x:v>
      </x:c>
      <x:c r="F54" s="59" t="str">
        <x:f>IF(E54&lt;&gt;"","已映射","未映射")</x:f>
        <x:v>已映射</x:v>
      </x:c>
      <x:c r="G54" s="59" t="str">
        <x:v>project_state.md §7 功能需求基线</x:v>
      </x:c>
      <x:c r="H54" s="60" t="str"/>
    </x:row>
    <x:row r="55" ht="32" customHeight="1">
      <x:c r="A55" s="58" t="str">
        <x:v>FR-FOLLOW-03</x:v>
      </x:c>
      <x:c r="B55" s="59" t="str">
        <x:v>FR</x:v>
      </x:c>
      <x:c r="C55" s="59" t="str">
        <x:v>M06 回访管理</x:v>
      </x:c>
      <x:c r="D55" s="59" t="str">
        <x:v>领养人只能操作属于本人的领养记录</x:v>
      </x:c>
      <x:c r="E55" s="59" t="str">
        <x:v>RTM-M06-01；RTM-M06-02</x:v>
      </x:c>
      <x:c r="F55" s="59" t="str">
        <x:f>IF(E55&lt;&gt;"","已映射","未映射")</x:f>
        <x:v>已映射</x:v>
      </x:c>
      <x:c r="G55" s="59" t="str">
        <x:v>project_state.md §7 功能需求基线</x:v>
      </x:c>
      <x:c r="H55" s="60" t="str"/>
    </x:row>
    <x:row r="56" ht="32" customHeight="1">
      <x:c r="A56" s="58" t="str">
        <x:v>FR-FOLLOW-04</x:v>
      </x:c>
      <x:c r="B56" s="59" t="str">
        <x:v>FR</x:v>
      </x:c>
      <x:c r="C56" s="59" t="str">
        <x:v>M06 回访管理</x:v>
      </x:c>
      <x:c r="D56" s="59" t="str">
        <x:v>ADMIN 可以查看全部回访</x:v>
      </x:c>
      <x:c r="E56" s="59" t="str">
        <x:v>RTM-M06-04</x:v>
      </x:c>
      <x:c r="F56" s="59" t="str">
        <x:f>IF(E56&lt;&gt;"","已映射","未映射")</x:f>
        <x:v>已映射</x:v>
      </x:c>
      <x:c r="G56" s="59" t="str">
        <x:v>project_state.md §7 功能需求基线</x:v>
      </x:c>
      <x:c r="H56" s="60" t="str"/>
    </x:row>
    <x:row r="57" ht="32" customHeight="1">
      <x:c r="A57" s="58" t="str">
        <x:v>FR-FOLLOW-05</x:v>
      </x:c>
      <x:c r="B57" s="59" t="str">
        <x:v>FR</x:v>
      </x:c>
      <x:c r="C57" s="59" t="str">
        <x:v>M06 回访管理</x:v>
      </x:c>
      <x:c r="D57" s="59" t="str">
        <x:v>对应 RESCUER 可以查看自己曾负责动物的回访</x:v>
      </x:c>
      <x:c r="E57" s="59" t="str">
        <x:v>RTM-M06-03</x:v>
      </x:c>
      <x:c r="F57" s="59" t="str">
        <x:f>IF(E57&lt;&gt;"","已映射","未映射")</x:f>
        <x:v>已映射</x:v>
      </x:c>
      <x:c r="G57" s="59" t="str">
        <x:v>project_state.md §7 功能需求基线</x:v>
      </x:c>
      <x:c r="H57" s="60" t="str"/>
    </x:row>
    <x:row r="58" ht="32" customHeight="1">
      <x:c r="A58" s="58" t="str">
        <x:v>FR-FOLLOW-06</x:v>
      </x:c>
      <x:c r="B58" s="59" t="str">
        <x:v>FR</x:v>
      </x:c>
      <x:c r="C58" s="59" t="str">
        <x:v>M06 回访管理</x:v>
      </x:c>
      <x:c r="D58" s="59" t="str">
        <x:v>保存提交人和提交时间</x:v>
      </x:c>
      <x:c r="E58" s="59" t="str">
        <x:v>RTM-M06-01；RTM-M06-02</x:v>
      </x:c>
      <x:c r="F58" s="59" t="str">
        <x:f>IF(E58&lt;&gt;"","已映射","未映射")</x:f>
        <x:v>已映射</x:v>
      </x:c>
      <x:c r="G58" s="59" t="str">
        <x:v>project_state.md §7 功能需求基线</x:v>
      </x:c>
      <x:c r="H58" s="60" t="str"/>
    </x:row>
    <x:row r="59" ht="32" customHeight="1">
      <x:c r="A59" s="58" t="str">
        <x:v>FR-FAVORITE-01</x:v>
      </x:c>
      <x:c r="B59" s="59" t="str">
        <x:v>FR</x:v>
      </x:c>
      <x:c r="C59" s="59" t="str">
        <x:v>M07 收藏/公告</x:v>
      </x:c>
      <x:c r="D59" s="59" t="str">
        <x:v>USER / RESCUER 可以收藏公开动物</x:v>
      </x:c>
      <x:c r="E59" s="59" t="str">
        <x:v>RTM-M07-01</x:v>
      </x:c>
      <x:c r="F59" s="59" t="str">
        <x:f>IF(E59&lt;&gt;"","已映射","未映射")</x:f>
        <x:v>已映射</x:v>
      </x:c>
      <x:c r="G59" s="59" t="str">
        <x:v>project_state.md §7 功能需求基线</x:v>
      </x:c>
      <x:c r="H59" s="60" t="str"/>
    </x:row>
    <x:row r="60" ht="32" customHeight="1">
      <x:c r="A60" s="58" t="str">
        <x:v>FR-FAVORITE-02</x:v>
      </x:c>
      <x:c r="B60" s="59" t="str">
        <x:v>FR</x:v>
      </x:c>
      <x:c r="C60" s="59" t="str">
        <x:v>M07 收藏/公告</x:v>
      </x:c>
      <x:c r="D60" s="59" t="str">
        <x:v>用户可以取消本人收藏</x:v>
      </x:c>
      <x:c r="E60" s="59" t="str">
        <x:v>RTM-M07-02</x:v>
      </x:c>
      <x:c r="F60" s="59" t="str">
        <x:f>IF(E60&lt;&gt;"","已映射","未映射")</x:f>
        <x:v>已映射</x:v>
      </x:c>
      <x:c r="G60" s="59" t="str">
        <x:v>project_state.md §7 功能需求基线</x:v>
      </x:c>
      <x:c r="H60" s="60" t="str"/>
    </x:row>
    <x:row r="61" ht="32" customHeight="1">
      <x:c r="A61" s="58" t="str">
        <x:v>FR-FAVORITE-03</x:v>
      </x:c>
      <x:c r="B61" s="59" t="str">
        <x:v>FR</x:v>
      </x:c>
      <x:c r="C61" s="59" t="str">
        <x:v>M07 收藏/公告</x:v>
      </x:c>
      <x:c r="D61" s="59" t="str">
        <x:v>同一用户不能重复收藏同一动物</x:v>
      </x:c>
      <x:c r="E61" s="59" t="str">
        <x:v>RTM-M07-01</x:v>
      </x:c>
      <x:c r="F61" s="59" t="str">
        <x:f>IF(E61&lt;&gt;"","已映射","未映射")</x:f>
        <x:v>已映射</x:v>
      </x:c>
      <x:c r="G61" s="59" t="str">
        <x:v>project_state.md §7 功能需求基线</x:v>
      </x:c>
      <x:c r="H61" s="60" t="str"/>
    </x:row>
    <x:row r="62" ht="32" customHeight="1">
      <x:c r="A62" s="58" t="str">
        <x:v>FR-FAVORITE-04</x:v>
      </x:c>
      <x:c r="B62" s="59" t="str">
        <x:v>FR</x:v>
      </x:c>
      <x:c r="C62" s="59" t="str">
        <x:v>M07 收藏/公告</x:v>
      </x:c>
      <x:c r="D62" s="59" t="str">
        <x:v>用户可以查看本人收藏列表</x:v>
      </x:c>
      <x:c r="E62" s="59" t="str">
        <x:v>RTM-M07-02</x:v>
      </x:c>
      <x:c r="F62" s="59" t="str">
        <x:f>IF(E62&lt;&gt;"","已映射","未映射")</x:f>
        <x:v>已映射</x:v>
      </x:c>
      <x:c r="G62" s="59" t="str">
        <x:v>project_state.md §7 功能需求基线</x:v>
      </x:c>
      <x:c r="H62" s="60" t="str"/>
    </x:row>
    <x:row r="63" ht="32" customHeight="1">
      <x:c r="A63" s="58" t="str">
        <x:v>FR-NOTICE-01</x:v>
      </x:c>
      <x:c r="B63" s="59" t="str">
        <x:v>FR</x:v>
      </x:c>
      <x:c r="C63" s="59" t="str">
        <x:v>M07 收藏/公告</x:v>
      </x:c>
      <x:c r="D63" s="59" t="str">
        <x:v>未登录访客和已登录用户均可以查看已发布公告</x:v>
      </x:c>
      <x:c r="E63" s="59" t="str">
        <x:v>RTM-M07-03</x:v>
      </x:c>
      <x:c r="F63" s="59" t="str">
        <x:f>IF(E63&lt;&gt;"","已映射","未映射")</x:f>
        <x:v>已映射</x:v>
      </x:c>
      <x:c r="G63" s="59" t="str">
        <x:v>project_state.md §7 功能需求基线</x:v>
      </x:c>
      <x:c r="H63" s="60" t="str"/>
    </x:row>
    <x:row r="64" ht="32" customHeight="1">
      <x:c r="A64" s="58" t="str">
        <x:v>FR-NOTICE-02</x:v>
      </x:c>
      <x:c r="B64" s="59" t="str">
        <x:v>FR</x:v>
      </x:c>
      <x:c r="C64" s="59" t="str">
        <x:v>M07 收藏/公告</x:v>
      </x:c>
      <x:c r="D64" s="59" t="str">
        <x:v>ADMIN 可以新增公告</x:v>
      </x:c>
      <x:c r="E64" s="59" t="str">
        <x:v>RTM-M07-04</x:v>
      </x:c>
      <x:c r="F64" s="59" t="str">
        <x:f>IF(E64&lt;&gt;"","已映射","未映射")</x:f>
        <x:v>已映射</x:v>
      </x:c>
      <x:c r="G64" s="59" t="str">
        <x:v>project_state.md §7 功能需求基线</x:v>
      </x:c>
      <x:c r="H64" s="60" t="str"/>
    </x:row>
    <x:row r="65" ht="32" customHeight="1">
      <x:c r="A65" s="58" t="str">
        <x:v>FR-NOTICE-03</x:v>
      </x:c>
      <x:c r="B65" s="59" t="str">
        <x:v>FR</x:v>
      </x:c>
      <x:c r="C65" s="59" t="str">
        <x:v>M07 收藏/公告</x:v>
      </x:c>
      <x:c r="D65" s="59" t="str">
        <x:v>ADMIN 可以修改公告</x:v>
      </x:c>
      <x:c r="E65" s="59" t="str">
        <x:v>RTM-M07-04</x:v>
      </x:c>
      <x:c r="F65" s="59" t="str">
        <x:f>IF(E65&lt;&gt;"","已映射","未映射")</x:f>
        <x:v>已映射</x:v>
      </x:c>
      <x:c r="G65" s="59" t="str">
        <x:v>project_state.md §7 功能需求基线</x:v>
      </x:c>
      <x:c r="H65" s="60" t="str"/>
    </x:row>
    <x:row r="66" ht="32" customHeight="1">
      <x:c r="A66" s="58" t="str">
        <x:v>FR-NOTICE-04</x:v>
      </x:c>
      <x:c r="B66" s="59" t="str">
        <x:v>FR</x:v>
      </x:c>
      <x:c r="C66" s="59" t="str">
        <x:v>M07 收藏/公告</x:v>
      </x:c>
      <x:c r="D66" s="59" t="str">
        <x:v>ADMIN 可以发布公告</x:v>
      </x:c>
      <x:c r="E66" s="59" t="str">
        <x:v>RTM-M07-05</x:v>
      </x:c>
      <x:c r="F66" s="59" t="str">
        <x:f>IF(E66&lt;&gt;"","已映射","未映射")</x:f>
        <x:v>已映射</x:v>
      </x:c>
      <x:c r="G66" s="59" t="str">
        <x:v>project_state.md §7 功能需求基线</x:v>
      </x:c>
      <x:c r="H66" s="60" t="str"/>
    </x:row>
    <x:row r="67" ht="32" customHeight="1">
      <x:c r="A67" s="58" t="str">
        <x:v>FR-NOTICE-05</x:v>
      </x:c>
      <x:c r="B67" s="59" t="str">
        <x:v>FR</x:v>
      </x:c>
      <x:c r="C67" s="59" t="str">
        <x:v>M07 收藏/公告</x:v>
      </x:c>
      <x:c r="D67" s="59" t="str">
        <x:v>ADMIN 可以撤回已发布公告</x:v>
      </x:c>
      <x:c r="E67" s="59" t="str">
        <x:v>RTM-M07-05</x:v>
      </x:c>
      <x:c r="F67" s="59" t="str">
        <x:f>IF(E67&lt;&gt;"","已映射","未映射")</x:f>
        <x:v>已映射</x:v>
      </x:c>
      <x:c r="G67" s="59" t="str">
        <x:v>project_state.md §7 功能需求基线</x:v>
      </x:c>
      <x:c r="H67" s="60" t="str"/>
    </x:row>
    <x:row r="68" ht="32" customHeight="1">
      <x:c r="A68" s="58" t="str">
        <x:v>FR-STAT-01</x:v>
      </x:c>
      <x:c r="B68" s="59" t="str">
        <x:v>FR</x:v>
      </x:c>
      <x:c r="C68" s="59" t="str">
        <x:v>M08 后台管理</x:v>
      </x:c>
      <x:c r="D68" s="59" t="str">
        <x:v>ADMIN 可以查看各状态救助线索数量</x:v>
      </x:c>
      <x:c r="E68" s="59" t="str">
        <x:v>RTM-M08-05</x:v>
      </x:c>
      <x:c r="F68" s="59" t="str">
        <x:f>IF(E68&lt;&gt;"","已映射","未映射")</x:f>
        <x:v>已映射</x:v>
      </x:c>
      <x:c r="G68" s="59" t="str">
        <x:v>project_state.md §7 功能需求基线</x:v>
      </x:c>
      <x:c r="H68" s="60" t="str"/>
    </x:row>
    <x:row r="69" ht="32" customHeight="1">
      <x:c r="A69" s="58" t="str">
        <x:v>FR-STAT-02</x:v>
      </x:c>
      <x:c r="B69" s="59" t="str">
        <x:v>FR</x:v>
      </x:c>
      <x:c r="C69" s="59" t="str">
        <x:v>M08 后台管理</x:v>
      </x:c>
      <x:c r="D69" s="59" t="str">
        <x:v>ADMIN 可以查看各状态救助任务数量</x:v>
      </x:c>
      <x:c r="E69" s="59" t="str">
        <x:v>RTM-M08-05</x:v>
      </x:c>
      <x:c r="F69" s="59" t="str">
        <x:f>IF(E69&lt;&gt;"","已映射","未映射")</x:f>
        <x:v>已映射</x:v>
      </x:c>
      <x:c r="G69" s="59" t="str">
        <x:v>project_state.md §7 功能需求基线</x:v>
      </x:c>
      <x:c r="H69" s="60" t="str"/>
    </x:row>
    <x:row r="70" ht="32" customHeight="1">
      <x:c r="A70" s="58" t="str">
        <x:v>FR-STAT-03</x:v>
      </x:c>
      <x:c r="B70" s="59" t="str">
        <x:v>FR</x:v>
      </x:c>
      <x:c r="C70" s="59" t="str">
        <x:v>M08 后台管理</x:v>
      </x:c>
      <x:c r="D70" s="59" t="str">
        <x:v>ADMIN 可以查看治疗中、观察中、待领养、已领养动物数量</x:v>
      </x:c>
      <x:c r="E70" s="59" t="str">
        <x:v>RTM-M08-05</x:v>
      </x:c>
      <x:c r="F70" s="59" t="str">
        <x:f>IF(E70&lt;&gt;"","已映射","未映射")</x:f>
        <x:v>已映射</x:v>
      </x:c>
      <x:c r="G70" s="59" t="str">
        <x:v>project_state.md §7 功能需求基线</x:v>
      </x:c>
      <x:c r="H70" s="60" t="str"/>
    </x:row>
    <x:row r="71" ht="32" customHeight="1">
      <x:c r="A71" s="58" t="str">
        <x:v>FR-STAT-04</x:v>
      </x:c>
      <x:c r="B71" s="59" t="str">
        <x:v>FR</x:v>
      </x:c>
      <x:c r="C71" s="59" t="str">
        <x:v>M08 后台管理</x:v>
      </x:c>
      <x:c r="D71" s="59" t="str">
        <x:v>ADMIN 可以查看各状态领养申请数量</x:v>
      </x:c>
      <x:c r="E71" s="59" t="str">
        <x:v>RTM-M08-05</x:v>
      </x:c>
      <x:c r="F71" s="59" t="str">
        <x:f>IF(E71&lt;&gt;"","已映射","未映射")</x:f>
        <x:v>已映射</x:v>
      </x:c>
      <x:c r="G71" s="59" t="str">
        <x:v>project_state.md §7 功能需求基线</x:v>
      </x:c>
      <x:c r="H71" s="60" t="str"/>
    </x:row>
    <x:row r="72" ht="32" customHeight="1">
      <x:c r="A72" s="58" t="str">
        <x:v>FR-STAT-05</x:v>
      </x:c>
      <x:c r="B72" s="59" t="str">
        <x:v>FR</x:v>
      </x:c>
      <x:c r="C72" s="59" t="str">
        <x:v>M08 后台管理</x:v>
      </x:c>
      <x:c r="D72" s="59" t="str">
        <x:v>ADMIN 可以查看一定时间范围内救助和领养数量变化</x:v>
      </x:c>
      <x:c r="E72" s="59" t="str">
        <x:v>RTM-M08-06</x:v>
      </x:c>
      <x:c r="F72" s="59" t="str">
        <x:f>IF(E72&lt;&gt;"","已映射","未映射")</x:f>
        <x:v>已映射</x:v>
      </x:c>
      <x:c r="G72" s="59" t="str">
        <x:v>project_state.md §7 功能需求基线</x:v>
      </x:c>
      <x:c r="H72" s="60" t="str"/>
    </x:row>
    <x:row r="73" ht="32" customHeight="1">
      <x:c r="A73" s="58" t="str">
        <x:v>FR-FILE-01</x:v>
      </x:c>
      <x:c r="B73" s="59" t="str">
        <x:v>FR</x:v>
      </x:c>
      <x:c r="C73" s="59" t="str">
        <x:v>共享文件</x:v>
      </x:c>
      <x:c r="D73" s="59" t="str">
        <x:v>救助线索、动物档案、回访支持图片上传</x:v>
      </x:c>
      <x:c r="E73" s="59" t="str">
        <x:v>RTM-M01-05；RTM-M02-01；RTM-M02-05；RTM-M04-05；RTM-M06-01</x:v>
      </x:c>
      <x:c r="F73" s="59" t="str">
        <x:f>IF(E73&lt;&gt;"","已映射","未映射")</x:f>
        <x:v>已映射</x:v>
      </x:c>
      <x:c r="G73" s="59" t="str">
        <x:v>project_state.md §7 功能需求基线</x:v>
      </x:c>
      <x:c r="H73" s="60" t="str"/>
    </x:row>
    <x:row r="74" ht="32" customHeight="1">
      <x:c r="A74" s="58" t="str">
        <x:v>FR-FILE-02</x:v>
      </x:c>
      <x:c r="B74" s="59" t="str">
        <x:v>FR</x:v>
      </x:c>
      <x:c r="C74" s="59" t="str">
        <x:v>共享文件</x:v>
      </x:c>
      <x:c r="D74" s="59" t="str">
        <x:v>仅允许 JPG / JPEG / PNG</x:v>
      </x:c>
      <x:c r="E74" s="59" t="str">
        <x:v>RTM-M01-05；RTM-M02-05；RTM-M04-05；RTM-M06-01</x:v>
      </x:c>
      <x:c r="F74" s="59" t="str">
        <x:f>IF(E74&lt;&gt;"","已映射","未映射")</x:f>
        <x:v>已映射</x:v>
      </x:c>
      <x:c r="G74" s="59" t="str">
        <x:v>project_state.md §7 功能需求基线</x:v>
      </x:c>
      <x:c r="H74" s="60" t="str"/>
    </x:row>
    <x:row r="75" ht="32" customHeight="1">
      <x:c r="A75" s="58" t="str">
        <x:v>FR-FILE-03</x:v>
      </x:c>
      <x:c r="B75" s="59" t="str">
        <x:v>FR</x:v>
      </x:c>
      <x:c r="C75" s="59" t="str">
        <x:v>共享文件</x:v>
      </x:c>
      <x:c r="D75" s="59" t="str">
        <x:v>单张图片最大 5 MB</x:v>
      </x:c>
      <x:c r="E75" s="59" t="str">
        <x:v>RTM-M01-05；RTM-M02-05；RTM-M04-05；RTM-M06-01</x:v>
      </x:c>
      <x:c r="F75" s="59" t="str">
        <x:f>IF(E75&lt;&gt;"","已映射","未映射")</x:f>
        <x:v>已映射</x:v>
      </x:c>
      <x:c r="G75" s="59" t="str">
        <x:v>project_state.md §7 功能需求基线</x:v>
      </x:c>
      <x:c r="H75" s="60" t="str"/>
    </x:row>
    <x:row r="76" ht="32" customHeight="1">
      <x:c r="A76" s="58" t="str">
        <x:v>FR-FILE-04</x:v>
      </x:c>
      <x:c r="B76" s="59" t="str">
        <x:v>FR</x:v>
      </x:c>
      <x:c r="C76" s="59" t="str">
        <x:v>共享文件</x:v>
      </x:c>
      <x:c r="D76" s="59" t="str">
        <x:v>单次业务提交最多 9 张图片</x:v>
      </x:c>
      <x:c r="E76" s="59" t="str">
        <x:v>RTM-M02-01；RTM-M02-05；RTM-M04-05；RTM-M06-01</x:v>
      </x:c>
      <x:c r="F76" s="59" t="str">
        <x:f>IF(E76&lt;&gt;"","已映射","未映射")</x:f>
        <x:v>已映射</x:v>
      </x:c>
      <x:c r="G76" s="59" t="str">
        <x:v>project_state.md §7 功能需求基线</x:v>
      </x:c>
      <x:c r="H76" s="60" t="str"/>
    </x:row>
    <x:row r="77" ht="32" customHeight="1">
      <x:c r="A77" s="58" t="str">
        <x:v>FR-FILE-05</x:v>
      </x:c>
      <x:c r="B77" s="59" t="str">
        <x:v>FR</x:v>
      </x:c>
      <x:c r="C77" s="59" t="str">
        <x:v>共享文件</x:v>
      </x:c>
      <x:c r="D77" s="59" t="str">
        <x:v>上传失败不得生成无效图片关联记录</x:v>
      </x:c>
      <x:c r="E77" s="59" t="str">
        <x:v>RTM-M01-05；RTM-M02-01；RTM-M02-05；RTM-M04-05；RTM-M06-01</x:v>
      </x:c>
      <x:c r="F77" s="59" t="str">
        <x:f>IF(E77&lt;&gt;"","已映射","未映射")</x:f>
        <x:v>已映射</x:v>
      </x:c>
      <x:c r="G77" s="59" t="str">
        <x:v>project_state.md §7 功能需求基线</x:v>
      </x:c>
      <x:c r="H77" s="60" t="str"/>
    </x:row>
    <x:row r="78" ht="32" customHeight="1">
      <x:c r="A78" s="58" t="str">
        <x:v>FR-FILE-06</x:v>
      </x:c>
      <x:c r="B78" s="59" t="str">
        <x:v>FR</x:v>
      </x:c>
      <x:c r="C78" s="59" t="str">
        <x:v>共享文件</x:v>
      </x:c>
      <x:c r="D78" s="59" t="str">
        <x:v>服务端应使用 UUID 生成存储文件名，不直接使用用户原始文件名</x:v>
      </x:c>
      <x:c r="E78" s="59" t="str">
        <x:v>RTM-M01-05；RTM-M02-05；RTM-M04-05；RTM-M06-01</x:v>
      </x:c>
      <x:c r="F78" s="59" t="str">
        <x:f>IF(E78&lt;&gt;"","已映射","未映射")</x:f>
        <x:v>已映射</x:v>
      </x:c>
      <x:c r="G78" s="59" t="str">
        <x:v>project_state.md §7 功能需求基线</x:v>
      </x:c>
      <x:c r="H78" s="60" t="str"/>
    </x:row>
    <x:row r="79" ht="32" customHeight="1">
      <x:c r="A79" s="58" t="str">
        <x:v>FR-FILE-07</x:v>
      </x:c>
      <x:c r="B79" s="59" t="str">
        <x:v>FR</x:v>
      </x:c>
      <x:c r="C79" s="59" t="str">
        <x:v>共享文件</x:v>
      </x:c>
      <x:c r="D79" s="59" t="str">
        <x:v>业务保存失败时应清理本次上传产生的临时文件，避免形成孤立文件</x:v>
      </x:c>
      <x:c r="E79" s="59" t="str">
        <x:v>RTM-M01-05；RTM-M02-01；RTM-M02-05；RTM-M04-05；RTM-M06-01</x:v>
      </x:c>
      <x:c r="F79" s="59" t="str">
        <x:f>IF(E79&lt;&gt;"","已映射","未映射")</x:f>
        <x:v>已映射</x:v>
      </x:c>
      <x:c r="G79" s="59" t="str">
        <x:v>project_state.md §7 功能需求基线</x:v>
      </x:c>
      <x:c r="H79" s="60" t="str"/>
    </x:row>
    <x:row r="80" ht="32" customHeight="1">
      <x:c r="A80" s="58" t="str">
        <x:v>BR-01</x:v>
      </x:c>
      <x:c r="B80" s="59" t="str">
        <x:v>BR</x:v>
      </x:c>
      <x:c r="C80" s="59" t="str">
        <x:v>跨模块业务规则</x:v>
      </x:c>
      <x:c r="D80" s="59" t="str">
        <x:v>一条审核通过的线索可以产生历史上的多个救助任务</x:v>
      </x:c>
      <x:c r="E80" s="59" t="str">
        <x:v>RTM-M03-02</x:v>
      </x:c>
      <x:c r="F80" s="59" t="str">
        <x:f>IF(E80&lt;&gt;"","已映射","未映射")</x:f>
        <x:v>已映射</x:v>
      </x:c>
      <x:c r="G80" s="59" t="str">
        <x:v>project_state.md §9 核心业务规则</x:v>
      </x:c>
      <x:c r="H80" s="60" t="str"/>
    </x:row>
    <x:row r="81" ht="32" customHeight="1">
      <x:c r="A81" s="58" t="str">
        <x:v>BR-02</x:v>
      </x:c>
      <x:c r="B81" s="59" t="str">
        <x:v>BR</x:v>
      </x:c>
      <x:c r="C81" s="59" t="str">
        <x:v>跨模块业务规则</x:v>
      </x:c>
      <x:c r="D81" s="59" t="str">
        <x:v>同一时刻一条线索最多只能有一个当前有效救助任务</x:v>
      </x:c>
      <x:c r="E81" s="59" t="str">
        <x:v>RTM-M03-02</x:v>
      </x:c>
      <x:c r="F81" s="59" t="str">
        <x:f>IF(E81&lt;&gt;"","已映射","未映射")</x:f>
        <x:v>已映射</x:v>
      </x:c>
      <x:c r="G81" s="59" t="str">
        <x:v>project_state.md §9 核心业务规则</x:v>
      </x:c>
      <x:c r="H81" s="60" t="str"/>
    </x:row>
    <x:row r="82" ht="32" customHeight="1">
      <x:c r="A82" s="58" t="str">
        <x:v>BR-03</x:v>
      </x:c>
      <x:c r="B82" s="59" t="str">
        <x:v>BR</x:v>
      </x:c>
      <x:c r="C82" s="59" t="str">
        <x:v>跨模块业务规则</x:v>
      </x:c>
      <x:c r="D82" s="59" t="str">
        <x:v>只有 WAITING_ACCEPT 线索可以被接取</x:v>
      </x:c>
      <x:c r="E82" s="59" t="str">
        <x:v>RTM-M03-01；RTM-M03-02</x:v>
      </x:c>
      <x:c r="F82" s="59" t="str">
        <x:f>IF(E82&lt;&gt;"","已映射","未映射")</x:f>
        <x:v>已映射</x:v>
      </x:c>
      <x:c r="G82" s="59" t="str">
        <x:v>project_state.md §9 核心业务规则</x:v>
      </x:c>
      <x:c r="H82" s="60" t="str"/>
    </x:row>
    <x:row r="83" ht="32" customHeight="1">
      <x:c r="A83" s="58" t="str">
        <x:v>BR-04</x:v>
      </x:c>
      <x:c r="B83" s="59" t="str">
        <x:v>BR</x:v>
      </x:c>
      <x:c r="C83" s="59" t="str">
        <x:v>跨模块业务规则</x:v>
      </x:c>
      <x:c r="D83" s="59" t="str">
        <x:v>只有救助成功后才能建立正式动物档案</x:v>
      </x:c>
      <x:c r="E83" s="59" t="str">
        <x:v>RTM-M03-08</x:v>
      </x:c>
      <x:c r="F83" s="59" t="str">
        <x:f>IF(E83&lt;&gt;"","已映射","未映射")</x:f>
        <x:v>已映射</x:v>
      </x:c>
      <x:c r="G83" s="59" t="str">
        <x:v>project_state.md §9 核心业务规则</x:v>
      </x:c>
      <x:c r="H83" s="60" t="str"/>
    </x:row>
    <x:row r="84" ht="32" customHeight="1">
      <x:c r="A84" s="58" t="str">
        <x:v>BR-05</x:v>
      </x:c>
      <x:c r="B84" s="59" t="str">
        <x:v>BR</x:v>
      </x:c>
      <x:c r="C84" s="59" t="str">
        <x:v>跨模块业务规则</x:v>
      </x:c>
      <x:c r="D84" s="59" t="str">
        <x:v>只有 AVAILABLE 动物可以接受领养申请</x:v>
      </x:c>
      <x:c r="E84" s="59" t="str">
        <x:v>RTM-M05-01</x:v>
      </x:c>
      <x:c r="F84" s="59" t="str">
        <x:f>IF(E84&lt;&gt;"","已映射","未映射")</x:f>
        <x:v>已映射</x:v>
      </x:c>
      <x:c r="G84" s="59" t="str">
        <x:v>project_state.md §9 核心业务规则</x:v>
      </x:c>
      <x:c r="H84" s="60" t="str"/>
    </x:row>
    <x:row r="85" ht="32" customHeight="1">
      <x:c r="A85" s="58" t="str">
        <x:v>BR-06</x:v>
      </x:c>
      <x:c r="B85" s="59" t="str">
        <x:v>BR</x:v>
      </x:c>
      <x:c r="C85" s="59" t="str">
        <x:v>跨模块业务规则</x:v>
      </x:c>
      <x:c r="D85" s="59" t="str">
        <x:v>同一用户对同一动物最多提交一次申请</x:v>
      </x:c>
      <x:c r="E85" s="59" t="str">
        <x:v>RTM-M05-01</x:v>
      </x:c>
      <x:c r="F85" s="59" t="str">
        <x:f>IF(E85&lt;&gt;"","已映射","未映射")</x:f>
        <x:v>已映射</x:v>
      </x:c>
      <x:c r="G85" s="59" t="str">
        <x:v>project_state.md §9 核心业务规则</x:v>
      </x:c>
      <x:c r="H85" s="60" t="str"/>
    </x:row>
    <x:row r="86" ht="32" customHeight="1">
      <x:c r="A86" s="58" t="str">
        <x:v>BR-07</x:v>
      </x:c>
      <x:c r="B86" s="59" t="str">
        <x:v>BR</x:v>
      </x:c>
      <x:c r="C86" s="59" t="str">
        <x:v>跨模块业务规则</x:v>
      </x:c>
      <x:c r="D86" s="59" t="str">
        <x:v>用户不能审核自己的申请</x:v>
      </x:c>
      <x:c r="E86" s="59" t="str">
        <x:v>RTM-M05-04</x:v>
      </x:c>
      <x:c r="F86" s="59" t="str">
        <x:f>IF(E86&lt;&gt;"","已映射","未映射")</x:f>
        <x:v>已映射</x:v>
      </x:c>
      <x:c r="G86" s="59" t="str">
        <x:v>project_state.md §9 核心业务规则</x:v>
      </x:c>
      <x:c r="H86" s="60" t="str"/>
    </x:row>
    <x:row r="87" ht="32" customHeight="1">
      <x:c r="A87" s="58" t="str">
        <x:v>BR-08</x:v>
      </x:c>
      <x:c r="B87" s="59" t="str">
        <x:v>BR</x:v>
      </x:c>
      <x:c r="C87" s="59" t="str">
        <x:v>跨模块业务规则</x:v>
      </x:c>
      <x:c r="D87" s="59" t="str">
        <x:v>领养最终审核权只属于 ADMIN</x:v>
      </x:c>
      <x:c r="E87" s="59" t="str">
        <x:v>RTM-M05-04</x:v>
      </x:c>
      <x:c r="F87" s="59" t="str">
        <x:f>IF(E87&lt;&gt;"","已映射","未映射")</x:f>
        <x:v>已映射</x:v>
      </x:c>
      <x:c r="G87" s="59" t="str">
        <x:v>project_state.md §9 核心业务规则</x:v>
      </x:c>
      <x:c r="H87" s="60" t="str"/>
    </x:row>
    <x:row r="88" ht="32" customHeight="1">
      <x:c r="A88" s="58" t="str">
        <x:v>BR-09</x:v>
      </x:c>
      <x:c r="B88" s="59" t="str">
        <x:v>BR</x:v>
      </x:c>
      <x:c r="C88" s="59" t="str">
        <x:v>跨模块业务规则</x:v>
      </x:c>
      <x:c r="D88" s="59" t="str">
        <x:v>一只动物最多只能产生一条有效成功领养记录</x:v>
      </x:c>
      <x:c r="E88" s="59" t="str">
        <x:v>RTM-M05-05</x:v>
      </x:c>
      <x:c r="F88" s="59" t="str">
        <x:f>IF(E88&lt;&gt;"","已映射","未映射")</x:f>
        <x:v>已映射</x:v>
      </x:c>
      <x:c r="G88" s="59" t="str">
        <x:v>project_state.md §9 核心业务规则</x:v>
      </x:c>
      <x:c r="H88" s="60" t="str"/>
    </x:row>
    <x:row r="89" ht="32" customHeight="1">
      <x:c r="A89" s="58" t="str">
        <x:v>BR-10</x:v>
      </x:c>
      <x:c r="B89" s="59" t="str">
        <x:v>BR</x:v>
      </x:c>
      <x:c r="C89" s="59" t="str">
        <x:v>跨模块业务规则</x:v>
      </x:c>
      <x:c r="D89" s="59" t="str">
        <x:v>一份申请通过后，同动物其他 PENDING 申请全部 INVALIDATED</x:v>
      </x:c>
      <x:c r="E89" s="59" t="str">
        <x:v>RTM-M05-05</x:v>
      </x:c>
      <x:c r="F89" s="59" t="str">
        <x:f>IF(E89&lt;&gt;"","已映射","未映射")</x:f>
        <x:v>已映射</x:v>
      </x:c>
      <x:c r="G89" s="59" t="str">
        <x:v>project_state.md §9 核心业务规则</x:v>
      </x:c>
      <x:c r="H89" s="60" t="str"/>
    </x:row>
    <x:row r="90" ht="32" customHeight="1">
      <x:c r="A90" s="58" t="str">
        <x:v>BR-11</x:v>
      </x:c>
      <x:c r="B90" s="59" t="str">
        <x:v>BR</x:v>
      </x:c>
      <x:c r="C90" s="59" t="str">
        <x:v>跨模块业务规则</x:v>
      </x:c>
      <x:c r="D90" s="59" t="str">
        <x:v>ADOPTED 动物不能继续接受申请</x:v>
      </x:c>
      <x:c r="E90" s="59" t="str">
        <x:v>RTM-M05-05</x:v>
      </x:c>
      <x:c r="F90" s="59" t="str">
        <x:f>IF(E90&lt;&gt;"","已映射","未映射")</x:f>
        <x:v>已映射</x:v>
      </x:c>
      <x:c r="G90" s="59" t="str">
        <x:v>project_state.md §9 核心业务规则</x:v>
      </x:c>
      <x:c r="H90" s="60" t="str"/>
    </x:row>
    <x:row r="91" ht="32" customHeight="1">
      <x:c r="A91" s="58" t="str">
        <x:v>BR-12</x:v>
      </x:c>
      <x:c r="B91" s="59" t="str">
        <x:v>BR</x:v>
      </x:c>
      <x:c r="C91" s="59" t="str">
        <x:v>跨模块业务规则</x:v>
      </x:c>
      <x:c r="D91" s="59" t="str">
        <x:v>用户只能修改 / 撤回属于本人且当前状态允许的数据</x:v>
      </x:c>
      <x:c r="E91" s="59" t="str">
        <x:v>RTM-M02-04；RTM-M02-05；RTM-M02-06；RTM-M05-03</x:v>
      </x:c>
      <x:c r="F91" s="59" t="str">
        <x:f>IF(E91&lt;&gt;"","已映射","未映射")</x:f>
        <x:v>已映射</x:v>
      </x:c>
      <x:c r="G91" s="59" t="str">
        <x:v>project_state.md §9 核心业务规则</x:v>
      </x:c>
      <x:c r="H91" s="60" t="str"/>
    </x:row>
    <x:row r="92" ht="32" customHeight="1">
      <x:c r="A92" s="58" t="str">
        <x:v>BR-13</x:v>
      </x:c>
      <x:c r="B92" s="59" t="str">
        <x:v>BR</x:v>
      </x:c>
      <x:c r="C92" s="59" t="str">
        <x:v>跨模块业务规则</x:v>
      </x:c>
      <x:c r="D92" s="59" t="str">
        <x:v>RESCUER 原则上只能修改本人负责的救助任务及相关业务数据</x:v>
      </x:c>
      <x:c r="E92" s="59" t="str">
        <x:v>RTM-M03-03；RTM-M03-04；RTM-M03-05；RTM-M04-03；RTM-M04-04；RTM-M04-05；RTM-M04-07</x:v>
      </x:c>
      <x:c r="F92" s="59" t="str">
        <x:f>IF(E92&lt;&gt;"","已映射","未映射")</x:f>
        <x:v>已映射</x:v>
      </x:c>
      <x:c r="G92" s="59" t="str">
        <x:v>project_state.md §9 核心业务规则</x:v>
      </x:c>
      <x:c r="H92" s="60" t="str"/>
    </x:row>
    <x:row r="93" ht="32" customHeight="1">
      <x:c r="A93" s="58" t="str">
        <x:v>BR-14</x:v>
      </x:c>
      <x:c r="B93" s="59" t="str">
        <x:v>BR</x:v>
      </x:c>
      <x:c r="C93" s="59" t="str">
        <x:v>跨模块业务规则</x:v>
      </x:c>
      <x:c r="D93" s="59" t="str">
        <x:v>关键审核与状态变更必须记录操作人和操作时间</x:v>
      </x:c>
      <x:c r="E93" s="59" t="str">
        <x:v>RTM-M02-06；RTM-M02-07；RTM-M03-02；RTM-M03-04；RTM-M03-07；RTM-M03-08；RTM-M03-09；RTM-M03-10；RTM-M04-07；RTM-M04-08；RTM-M05-03；RTM-M05-04；RTM-M07-05；RTM-M08-02；RTM-M08-03</x:v>
      </x:c>
      <x:c r="F93" s="59" t="str">
        <x:f>IF(E93&lt;&gt;"","已映射","未映射")</x:f>
        <x:v>已映射</x:v>
      </x:c>
      <x:c r="G93" s="59" t="str">
        <x:v>project_state.md §9 核心业务规则</x:v>
      </x:c>
      <x:c r="H93" s="60" t="str"/>
    </x:row>
    <x:row r="94" ht="32" customHeight="1">
      <x:c r="A94" s="58" t="str">
        <x:v>BR-15</x:v>
      </x:c>
      <x:c r="B94" s="59" t="str">
        <x:v>BR</x:v>
      </x:c>
      <x:c r="C94" s="59" t="str">
        <x:v>跨模块业务规则</x:v>
      </x:c>
      <x:c r="D94" s="59" t="str">
        <x:v>发布人只能撤回本人 PENDING_REVIEW 线索</x:v>
      </x:c>
      <x:c r="E94" s="59" t="str">
        <x:v>RTM-M02-06</x:v>
      </x:c>
      <x:c r="F94" s="59" t="str">
        <x:f>IF(E94&lt;&gt;"","已映射","未映射")</x:f>
        <x:v>已映射</x:v>
      </x:c>
      <x:c r="G94" s="59" t="str">
        <x:v>project_state.md §9 核心业务规则</x:v>
      </x:c>
      <x:c r="H94" s="60" t="str"/>
    </x:row>
    <x:row r="95" ht="32" customHeight="1">
      <x:c r="A95" s="58" t="str">
        <x:v>BR-16</x:v>
      </x:c>
      <x:c r="B95" s="59" t="str">
        <x:v>BR</x:v>
      </x:c>
      <x:c r="C95" s="59" t="str">
        <x:v>跨模块业务规则</x:v>
      </x:c>
      <x:c r="D95" s="59" t="str">
        <x:v>审核通过后的线索发布人不得自行撤回</x:v>
      </x:c>
      <x:c r="E95" s="59" t="str">
        <x:v>RTM-M02-06</x:v>
      </x:c>
      <x:c r="F95" s="59" t="str">
        <x:f>IF(E95&lt;&gt;"","已映射","未映射")</x:f>
        <x:v>已映射</x:v>
      </x:c>
      <x:c r="G95" s="59" t="str">
        <x:v>project_state.md §9 核心业务规则</x:v>
      </x:c>
      <x:c r="H95" s="60" t="str"/>
    </x:row>
    <x:row r="96" ht="32" customHeight="1">
      <x:c r="A96" s="58" t="str">
        <x:v>BR-17</x:v>
      </x:c>
      <x:c r="B96" s="59" t="str">
        <x:v>BR</x:v>
      </x:c>
      <x:c r="C96" s="59" t="str">
        <x:v>跨模块业务规则</x:v>
      </x:c>
      <x:c r="D96" s="59" t="str">
        <x:v>任务 FAILED 后由 ADMIN 决定重新开放或关闭线索</x:v>
      </x:c>
      <x:c r="E96" s="59" t="str">
        <x:v>RTM-M03-07；RTM-M03-10</x:v>
      </x:c>
      <x:c r="F96" s="59" t="str">
        <x:f>IF(E96&lt;&gt;"","已映射","未映射")</x:f>
        <x:v>已映射</x:v>
      </x:c>
      <x:c r="G96" s="59" t="str">
        <x:v>project_state.md §9 核心业务规则</x:v>
      </x:c>
      <x:c r="H96" s="60" t="str"/>
    </x:row>
    <x:row r="97" ht="32" customHeight="1">
      <x:c r="A97" s="58" t="str">
        <x:v>BR-18</x:v>
      </x:c>
      <x:c r="B97" s="59" t="str">
        <x:v>BR</x:v>
      </x:c>
      <x:c r="C97" s="59" t="str">
        <x:v>跨模块业务规则</x:v>
      </x:c>
      <x:c r="D97" s="59" t="str">
        <x:v>CANCELED 必须记录取消原因</x:v>
      </x:c>
      <x:c r="E97" s="59" t="str">
        <x:v>RTM-M03-09</x:v>
      </x:c>
      <x:c r="F97" s="59" t="str">
        <x:f>IF(E97&lt;&gt;"","已映射","未映射")</x:f>
        <x:v>已映射</x:v>
      </x:c>
      <x:c r="G97" s="59" t="str">
        <x:v>project_state.md §9 核心业务规则</x:v>
      </x:c>
      <x:c r="H97" s="60" t="str"/>
    </x:row>
    <x:row r="98" ht="32" customHeight="1">
      <x:c r="A98" s="58" t="str">
        <x:v>BR-19</x:v>
      </x:c>
      <x:c r="B98" s="59" t="str">
        <x:v>BR</x:v>
      </x:c>
      <x:c r="C98" s="59" t="str">
        <x:v>跨模块业务规则</x:v>
      </x:c>
      <x:c r="D98" s="59" t="str">
        <x:v>CANCELED 后线索重新进入 WAITING_ACCEPT</x:v>
      </x:c>
      <x:c r="E98" s="59" t="str">
        <x:v>RTM-M03-09</x:v>
      </x:c>
      <x:c r="F98" s="59" t="str">
        <x:f>IF(E98&lt;&gt;"","已映射","未映射")</x:f>
        <x:v>已映射</x:v>
      </x:c>
      <x:c r="G98" s="59" t="str">
        <x:v>project_state.md §9 核心业务规则</x:v>
      </x:c>
      <x:c r="H98" s="60" t="str"/>
    </x:row>
    <x:row r="99" ht="32" customHeight="1">
      <x:c r="A99" s="58" t="str">
        <x:v>BR-20</x:v>
      </x:c>
      <x:c r="B99" s="59" t="str">
        <x:v>BR</x:v>
      </x:c>
      <x:c r="C99" s="59" t="str">
        <x:v>跨模块业务规则</x:v>
      </x:c>
      <x:c r="D99" s="59" t="str">
        <x:v>ADOPTED 只能由领养申请批准业务自动触发</x:v>
      </x:c>
      <x:c r="E99" s="59" t="str">
        <x:v>RTM-M04-08；RTM-M05-05</x:v>
      </x:c>
      <x:c r="F99" s="59" t="str">
        <x:f>IF(E99&lt;&gt;"","已映射","未映射")</x:f>
        <x:v>已映射</x:v>
      </x:c>
      <x:c r="G99" s="59" t="str">
        <x:v>project_state.md §9 核心业务规则</x:v>
      </x:c>
      <x:c r="H99" s="60" t="str"/>
    </x:row>
    <x:row r="100" ht="32" customHeight="1">
      <x:c r="A100" s="58" t="str">
        <x:v>BR-21</x:v>
      </x:c>
      <x:c r="B100" s="59" t="str">
        <x:v>BR</x:v>
      </x:c>
      <x:c r="C100" s="59" t="str">
        <x:v>跨模块业务规则</x:v>
      </x:c>
      <x:c r="D100" s="59" t="str">
        <x:v>USER 和 RESCUER 均可以创建领养申请，所有领养申请的最终审核权仅属于 ADMIN</x:v>
      </x:c>
      <x:c r="E100" s="59" t="str">
        <x:v>RTM-M05-01；RTM-M05-04</x:v>
      </x:c>
      <x:c r="F100" s="59" t="str">
        <x:f>IF(E100&lt;&gt;"","已映射","未映射")</x:f>
        <x:v>已映射</x:v>
      </x:c>
      <x:c r="G100" s="59" t="str">
        <x:v>project_state.md §9 核心业务规则</x:v>
      </x:c>
      <x:c r="H100" s="60" t="str"/>
    </x:row>
    <x:row r="101" ht="32" customHeight="1">
      <x:c r="A101" s="58" t="str">
        <x:v>BR-22</x:v>
      </x:c>
      <x:c r="B101" s="59" t="str">
        <x:v>BR</x:v>
      </x:c>
      <x:c r="C101" s="59" t="str">
        <x:v>跨模块业务规则</x:v>
      </x:c>
      <x:c r="D101" s="59" t="str">
        <x:v>RESCUER 对领养和回访的查看权限通过原救助任务负责人确定</x:v>
      </x:c>
      <x:c r="E101" s="59" t="str">
        <x:v>RTM-M04-03；RTM-M05-07；RTM-M06-03；RTM-M08-04</x:v>
      </x:c>
      <x:c r="F101" s="59" t="str">
        <x:f>IF(E101&lt;&gt;"","已映射","未映射")</x:f>
        <x:v>已映射</x:v>
      </x:c>
      <x:c r="G101" s="59" t="str">
        <x:v>project_state.md §9 核心业务规则</x:v>
      </x:c>
      <x:c r="H101" s="60" t="str"/>
    </x:row>
    <x:row r="102" ht="32" customHeight="1">
      <x:c r="A102" s="58" t="str">
        <x:v>BR-23</x:v>
      </x:c>
      <x:c r="B102" s="59" t="str">
        <x:v>BR</x:v>
      </x:c>
      <x:c r="C102" s="59" t="str">
        <x:v>跨模块业务规则</x:v>
      </x:c>
      <x:c r="D102" s="59" t="str">
        <x:v>一次成功的 RescueTask 可以创建一个或多个 Animal；每个 Animal 必须且只能来源于一个 RescueTask</x:v>
      </x:c>
      <x:c r="E102" s="59" t="str">
        <x:v>RTM-M03-08</x:v>
      </x:c>
      <x:c r="F102" s="59" t="str">
        <x:f>IF(E102&lt;&gt;"","已映射","未映射")</x:f>
        <x:v>已映射</x:v>
      </x:c>
      <x:c r="G102" s="59" t="str">
        <x:v>project_state.md §9 核心业务规则</x:v>
      </x:c>
      <x:c r="H102" s="60" t="str"/>
    </x:row>
    <x:row r="103" ht="32" customHeight="1">
      <x:c r="A103" s="58" t="str">
        <x:v>BR-24</x:v>
      </x:c>
      <x:c r="B103" s="59" t="str">
        <x:v>BR</x:v>
      </x:c>
      <x:c r="C103" s="59" t="str">
        <x:v>跨模块业务规则</x:v>
      </x:c>
      <x:c r="D103" s="59" t="str">
        <x:v>角色变化不改变历史业务数据所有权</x:v>
      </x:c>
      <x:c r="E103" s="59" t="str">
        <x:v>RTM-M08-03</x:v>
      </x:c>
      <x:c r="F103" s="59" t="str">
        <x:f>IF(E103&lt;&gt;"","已映射","未映射")</x:f>
        <x:v>已映射</x:v>
      </x:c>
      <x:c r="G103" s="59" t="str">
        <x:v>project_state.md §9 核心业务规则</x:v>
      </x:c>
      <x:c r="H103" s="60" t="str"/>
    </x:row>
    <x:row r="104" ht="32" customHeight="1">
      <x:c r="A104" s="58" t="str">
        <x:v>BR-25</x:v>
      </x:c>
      <x:c r="B104" s="59" t="str">
        <x:v>BR</x:v>
      </x:c>
      <x:c r="C104" s="59" t="str">
        <x:v>跨模块业务规则</x:v>
      </x:c>
      <x:c r="D104" s="59" t="str">
        <x:v>普通访问端的公开领养列表只展示 AVAILABLE 状态的动物</x:v>
      </x:c>
      <x:c r="E104" s="59" t="str">
        <x:v>RTM-M04-01</x:v>
      </x:c>
      <x:c r="F104" s="59" t="str">
        <x:f>IF(E104&lt;&gt;"","已映射","未映射")</x:f>
        <x:v>已映射</x:v>
      </x:c>
      <x:c r="G104" s="59" t="str">
        <x:v>project_state.md §9 核心业务规则</x:v>
      </x:c>
      <x:c r="H104" s="60" t="str"/>
    </x:row>
    <x:row r="105" ht="32" customHeight="1">
      <x:c r="A105" s="58" t="str">
        <x:v>BR-26</x:v>
      </x:c>
      <x:c r="B105" s="59" t="str">
        <x:v>BR</x:v>
      </x:c>
      <x:c r="C105" s="59" t="str">
        <x:v>跨模块业务规则</x:v>
      </x:c>
      <x:c r="D105" s="59" t="str">
        <x:v>RescueTask 转为 SUCCESS 时必须同时创建至少一个 Animal，并在同一事务中关闭对应 RescueClue</x:v>
      </x:c>
      <x:c r="E105" s="59" t="str">
        <x:v>RTM-M03-08</x:v>
      </x:c>
      <x:c r="F105" s="59" t="str">
        <x:f>IF(E105&lt;&gt;"","已映射","未映射")</x:f>
        <x:v>已映射</x:v>
      </x:c>
      <x:c r="G105" s="59" t="str">
        <x:v>project_state.md §9 核心业务规则</x:v>
      </x:c>
      <x:c r="H105" s="60" t="str"/>
    </x:row>
    <x:row r="106" ht="32" customHeight="1">
      <x:c r="A106" s="58" t="str">
        <x:v>BR-27</x:v>
      </x:c>
      <x:c r="B106" s="59" t="str">
        <x:v>BR</x:v>
      </x:c>
      <x:c r="C106" s="59" t="str">
        <x:v>跨模块业务规则</x:v>
      </x:c>
      <x:c r="D106" s="59" t="str">
        <x:v>RescueTask 只能由 ADMIN 从 WAITING_START 或 IN_PROGRESS 取消，并且必须填写取消原因</x:v>
      </x:c>
      <x:c r="E106" s="59" t="str">
        <x:v>RTM-M03-09</x:v>
      </x:c>
      <x:c r="F106" s="59" t="str">
        <x:f>IF(E106&lt;&gt;"","已映射","未映射")</x:f>
        <x:v>已映射</x:v>
      </x:c>
      <x:c r="G106" s="59" t="str">
        <x:v>project_state.md §9 核心业务规则</x:v>
      </x:c>
      <x:c r="H106" s="60" t="str"/>
    </x:row>
    <x:row r="107" ht="32" customHeight="1">
      <x:c r="A107" s="58" t="str">
        <x:v>BR-28</x:v>
      </x:c>
      <x:c r="B107" s="59" t="str">
        <x:v>BR</x:v>
      </x:c>
      <x:c r="C107" s="59" t="str">
        <x:v>跨模块业务规则</x:v>
      </x:c>
      <x:c r="D107" s="59" t="str">
        <x:v>RESCUER 可以申请任何 AVAILABLE 动物，包括由本人负责救助的动物，但不得审核任何领养申请</x:v>
      </x:c>
      <x:c r="E107" s="59" t="str">
        <x:v>RTM-M05-01；RTM-M05-04</x:v>
      </x:c>
      <x:c r="F107" s="59" t="str">
        <x:f>IF(E107&lt;&gt;"","已映射","未映射")</x:f>
        <x:v>已映射</x:v>
      </x:c>
      <x:c r="G107" s="59" t="str">
        <x:v>project_state.md §9 核心业务规则</x:v>
      </x:c>
      <x:c r="H107" s="60" t="str"/>
    </x:row>
    <x:row r="108" ht="32" customHeight="1">
      <x:c r="A108" s="58" t="str">
        <x:v>NFR-PER-01</x:v>
      </x:c>
      <x:c r="B108" s="59" t="str">
        <x:v>NFR</x:v>
      </x:c>
      <x:c r="C108" s="59" t="str">
        <x:v>非功能需求/PER</x:v>
      </x:c>
      <x:c r="D108" s="59" t="str">
        <x:v>在 50 名用户并发访问条件下，普通查询接口 95% 响应时间 ≤ 2 秒</x:v>
      </x:c>
      <x:c r="E108" s="59" t="str">
        <x:v>RTM-M01-03；RTM-M02-02；RTM-M03-01；RTM-M03-03；RTM-M03-06；RTM-M04-01；RTM-M04-02；RTM-M04-06；RTM-M05-02；RTM-M05-06；RTM-M06-02；RTM-M06-04；RTM-M07-02；RTM-M07-03；RTM-M08-01；RTM-M08-04；RTM-M08-05；RTM-M08-06</x:v>
      </x:c>
      <x:c r="F108" s="59" t="str">
        <x:f>IF(E108&lt;&gt;"","已映射","未映射")</x:f>
        <x:v>已映射</x:v>
      </x:c>
      <x:c r="G108" s="59" t="str">
        <x:v>project_state.md §14 非功能需求基线</x:v>
      </x:c>
      <x:c r="H108" s="60" t="str">
        <x:v>跨模块适用</x:v>
      </x:c>
    </x:row>
    <x:row r="109" ht="32" customHeight="1">
      <x:c r="A109" s="58" t="str">
        <x:v>NFR-PER-02</x:v>
      </x:c>
      <x:c r="B109" s="59" t="str">
        <x:v>NFR</x:v>
      </x:c>
      <x:c r="C109" s="59" t="str">
        <x:v>非功能需求/PER</x:v>
      </x:c>
      <x:c r="D109" s="59" t="str">
        <x:v>普通新增 / 修改业务操作 95% 响应时间 ≤ 3 秒（不包含图片网络上传耗时）</x:v>
      </x:c>
      <x:c r="E109" s="59" t="str">
        <x:v>RTM-M01-01；RTM-M01-02；RTM-M01-04；RTM-M02-01；RTM-M02-04；RTM-M03-02；RTM-M03-05；RTM-M04-04；RTM-M04-07；RTM-M05-01；RTM-M06-01；RTM-M07-01；RTM-M08-02</x:v>
      </x:c>
      <x:c r="F109" s="59" t="str">
        <x:f>IF(E109&lt;&gt;"","已映射","未映射")</x:f>
        <x:v>已映射</x:v>
      </x:c>
      <x:c r="G109" s="59" t="str">
        <x:v>project_state.md §14 非功能需求基线</x:v>
      </x:c>
      <x:c r="H109" s="60" t="str">
        <x:v>跨模块适用</x:v>
      </x:c>
    </x:row>
    <x:row r="110" ht="32" customHeight="1">
      <x:c r="A110" s="58" t="str">
        <x:v>NFR-SEC-01</x:v>
      </x:c>
      <x:c r="B110" s="59" t="str">
        <x:v>NFR</x:v>
      </x:c>
      <x:c r="C110" s="59" t="str">
        <x:v>非功能需求/SEC</x:v>
      </x:c>
      <x:c r="D110" s="59" t="str">
        <x:v>密码必须使用 BCrypt 哈希存储</x:v>
      </x:c>
      <x:c r="E110" s="59" t="str">
        <x:v>RTM-M01-01；RTM-M01-02</x:v>
      </x:c>
      <x:c r="F110" s="59" t="str">
        <x:f>IF(E110&lt;&gt;"","已映射","未映射")</x:f>
        <x:v>已映射</x:v>
      </x:c>
      <x:c r="G110" s="59" t="str">
        <x:v>project_state.md §14 非功能需求基线</x:v>
      </x:c>
      <x:c r="H110" s="60" t="str">
        <x:v>跨模块适用</x:v>
      </x:c>
    </x:row>
    <x:row r="111" ht="32" customHeight="1">
      <x:c r="A111" s="58" t="str">
        <x:v>NFR-SEC-02</x:v>
      </x:c>
      <x:c r="B111" s="59" t="str">
        <x:v>NFR</x:v>
      </x:c>
      <x:c r="C111" s="59" t="str">
        <x:v>非功能需求/SEC</x:v>
      </x:c>
      <x:c r="D111" s="59" t="str">
        <x:v>使用 JWT 完成身份认证</x:v>
      </x:c>
      <x:c r="E111" s="59" t="str">
        <x:v>RTM-M01-02；RTM-M01-03</x:v>
      </x:c>
      <x:c r="F111" s="59" t="str">
        <x:f>IF(E111&lt;&gt;"","已映射","未映射")</x:f>
        <x:v>已映射</x:v>
      </x:c>
      <x:c r="G111" s="59" t="str">
        <x:v>project_state.md §14 非功能需求基线</x:v>
      </x:c>
      <x:c r="H111" s="60" t="str">
        <x:v>跨模块适用</x:v>
      </x:c>
    </x:row>
    <x:row r="112" ht="32" customHeight="1">
      <x:c r="A112" s="58" t="str">
        <x:v>NFR-SEC-03</x:v>
      </x:c>
      <x:c r="B112" s="59" t="str">
        <x:v>NFR</x:v>
      </x:c>
      <x:c r="C112" s="59" t="str">
        <x:v>非功能需求/SEC</x:v>
      </x:c>
      <x:c r="D112" s="59" t="str">
        <x:v>根据 USER / RESCUER / ADMIN 实施后端权限校验</x:v>
      </x:c>
      <x:c r="E112" s="59" t="str">
        <x:v>RTM-M01-03；RTM-M01-04；RTM-M02-03；RTM-M02-07；RTM-M03-03；RTM-M04-02；RTM-M04-03；RTM-M05-02；RTM-M05-04；RTM-M05-07；RTM-M06-02；RTM-M06-03；RTM-M07-04；RTM-M08-01</x:v>
      </x:c>
      <x:c r="F112" s="59" t="str">
        <x:f>IF(E112&lt;&gt;"","已映射","未映射")</x:f>
        <x:v>已映射</x:v>
      </x:c>
      <x:c r="G112" s="59" t="str">
        <x:v>project_state.md §14 非功能需求基线</x:v>
      </x:c>
      <x:c r="H112" s="60" t="str">
        <x:v>跨模块适用</x:v>
      </x:c>
    </x:row>
    <x:row r="113" ht="32" customHeight="1">
      <x:c r="A113" s="58" t="str">
        <x:v>NFR-SEC-04</x:v>
      </x:c>
      <x:c r="B113" s="59" t="str">
        <x:v>NFR</x:v>
      </x:c>
      <x:c r="C113" s="59" t="str">
        <x:v>非功能需求/SEC</x:v>
      </x:c>
      <x:c r="D113" s="59" t="str">
        <x:v>敏感操作不能只依赖前端隐藏按钮，后端必须校验权限</x:v>
      </x:c>
      <x:c r="E113" s="59" t="str">
        <x:v>RTM-M01-03；RTM-M01-04；RTM-M02-03；RTM-M02-07；RTM-M03-03；RTM-M04-02；RTM-M05-02；RTM-M05-04；RTM-M06-02；RTM-M07-04；RTM-M08-01</x:v>
      </x:c>
      <x:c r="F113" s="59" t="str">
        <x:f>IF(E113&lt;&gt;"","已映射","未映射")</x:f>
        <x:v>已映射</x:v>
      </x:c>
      <x:c r="G113" s="59" t="str">
        <x:v>project_state.md §14 非功能需求基线</x:v>
      </x:c>
      <x:c r="H113" s="60" t="str">
        <x:v>跨模块适用</x:v>
      </x:c>
    </x:row>
    <x:row r="114" ht="32" customHeight="1">
      <x:c r="A114" s="58" t="str">
        <x:v>NFR-SEC-05</x:v>
      </x:c>
      <x:c r="B114" s="59" t="str">
        <x:v>NFR</x:v>
      </x:c>
      <x:c r="C114" s="59" t="str">
        <x:v>非功能需求/SEC</x:v>
      </x:c>
      <x:c r="D114" s="59" t="str">
        <x:v>手机号等个人信息在非必要页面脱敏展示</x:v>
      </x:c>
      <x:c r="E114" s="59" t="str">
        <x:v>RTM-M01-03；RTM-M01-04；RTM-M04-06；RTM-M05-02；RTM-M05-07；RTM-M06-02</x:v>
      </x:c>
      <x:c r="F114" s="59" t="str">
        <x:f>IF(E114&lt;&gt;"","已映射","未映射")</x:f>
        <x:v>已映射</x:v>
      </x:c>
      <x:c r="G114" s="59" t="str">
        <x:v>project_state.md §14 非功能需求基线</x:v>
      </x:c>
      <x:c r="H114" s="60" t="str">
        <x:v>跨模块适用</x:v>
      </x:c>
    </x:row>
    <x:row r="115" ht="32" customHeight="1">
      <x:c r="A115" s="58" t="str">
        <x:v>NFR-DATA-01</x:v>
      </x:c>
      <x:c r="B115" s="59" t="str">
        <x:v>NFR</x:v>
      </x:c>
      <x:c r="C115" s="59" t="str">
        <x:v>非功能需求/DATA</x:v>
      </x:c>
      <x:c r="D115" s="59" t="str">
        <x:v>关键审核和状态变化保存操作人、操作时间</x:v>
      </x:c>
      <x:c r="E115" s="59" t="str">
        <x:v>RTM-M02-06；RTM-M02-07；RTM-M03-02；RTM-M03-04；RTM-M03-07；RTM-M03-08；RTM-M03-09；RTM-M03-10；RTM-M04-07；RTM-M04-08；RTM-M05-03；RTM-M05-04；RTM-M05-05；RTM-M06-01；RTM-M07-05；RTM-M08-02；RTM-M08-03</x:v>
      </x:c>
      <x:c r="F115" s="59" t="str">
        <x:f>IF(E115&lt;&gt;"","已映射","未映射")</x:f>
        <x:v>已映射</x:v>
      </x:c>
      <x:c r="G115" s="59" t="str">
        <x:v>project_state.md §14 非功能需求基线</x:v>
      </x:c>
      <x:c r="H115" s="60" t="str">
        <x:v>跨模块适用</x:v>
      </x:c>
    </x:row>
    <x:row r="116" ht="32" customHeight="1">
      <x:c r="A116" s="58" t="str">
        <x:v>NFR-DATA-02</x:v>
      </x:c>
      <x:c r="B116" s="59" t="str">
        <x:v>NFR</x:v>
      </x:c>
      <x:c r="C116" s="59" t="str">
        <x:v>非功能需求/DATA</x:v>
      </x:c>
      <x:c r="D116" s="59" t="str">
        <x:v>关键跨表操作使用数据库事务保证一致性</x:v>
      </x:c>
      <x:c r="E116" s="59" t="str">
        <x:v>RTM-M02-01；RTM-M02-05；RTM-M03-02；RTM-M03-08；RTM-M03-09；RTM-M03-10；RTM-M04-05；RTM-M05-01；RTM-M05-05；RTM-M06-01</x:v>
      </x:c>
      <x:c r="F116" s="59" t="str">
        <x:f>IF(E116&lt;&gt;"","已映射","未映射")</x:f>
        <x:v>已映射</x:v>
      </x:c>
      <x:c r="G116" s="59" t="str">
        <x:v>project_state.md §14 非功能需求基线</x:v>
      </x:c>
      <x:c r="H116" s="60" t="str">
        <x:v>跨模块适用</x:v>
      </x:c>
    </x:row>
    <x:row r="117" ht="32" customHeight="1">
      <x:c r="A117" s="58" t="str">
        <x:v>NFR-COMP-01</x:v>
      </x:c>
      <x:c r="B117" s="59" t="str">
        <x:v>NFR</x:v>
      </x:c>
      <x:c r="C117" s="59" t="str">
        <x:v>非功能需求/COMP</x:v>
      </x:c>
      <x:c r="D117" s="59" t="str">
        <x:v>PC 端支持最新版 Chrome、Edge</x:v>
      </x:c>
      <x:c r="E117" s="59" t="str">
        <x:v>RTM-M01-03；RTM-M02-07；RTM-M03-09；RTM-M05-04；RTM-M06-04；RTM-M07-04；RTM-M08-01</x:v>
      </x:c>
      <x:c r="F117" s="59" t="str">
        <x:f>IF(E117&lt;&gt;"","已映射","未映射")</x:f>
        <x:v>已映射</x:v>
      </x:c>
      <x:c r="G117" s="59" t="str">
        <x:v>project_state.md §14 非功能需求基线</x:v>
      </x:c>
      <x:c r="H117" s="60" t="str">
        <x:v>跨模块适用</x:v>
      </x:c>
    </x:row>
    <x:row r="118" ht="32" customHeight="1">
      <x:c r="A118" s="58" t="str">
        <x:v>NFR-COMP-02</x:v>
      </x:c>
      <x:c r="B118" s="59" t="str">
        <x:v>NFR</x:v>
      </x:c>
      <x:c r="C118" s="59" t="str">
        <x:v>非功能需求/COMP</x:v>
      </x:c>
      <x:c r="D118" s="59" t="str">
        <x:v>移动端至少在 UniApp / HBuilderX 对应环境完成测试</x:v>
      </x:c>
      <x:c r="E118" s="59" t="str">
        <x:v>RTM-M01-01；RTM-M01-03；RTM-M02-01</x:v>
      </x:c>
      <x:c r="F118" s="59" t="str">
        <x:f>IF(E118&lt;&gt;"","已映射","未映射")</x:f>
        <x:v>已映射</x:v>
      </x:c>
      <x:c r="G118" s="59" t="str">
        <x:v>project_state.md §14 非功能需求基线</x:v>
      </x:c>
      <x:c r="H118" s="60" t="str">
        <x:v>跨模块适用</x:v>
      </x:c>
    </x:row>
    <x:row r="119" ht="32" customHeight="1">
      <x:c r="A119" s="58" t="str">
        <x:v>NFR-API-01</x:v>
      </x:c>
      <x:c r="B119" s="59" t="str">
        <x:v>NFR</x:v>
      </x:c>
      <x:c r="C119" s="59" t="str">
        <x:v>非功能需求/API</x:v>
      </x:c>
      <x:c r="D119" s="59" t="str">
        <x:v>普通前后端数据使用 HTTP REST + UTF-8 JSON</x:v>
      </x:c>
      <x:c r="E119" s="59" t="str">
        <x:v>RTM-M01-03；RTM-M01-04</x:v>
      </x:c>
      <x:c r="F119" s="59" t="str">
        <x:f>IF(E119&lt;&gt;"","已映射","未映射")</x:f>
        <x:v>已映射</x:v>
      </x:c>
      <x:c r="G119" s="59" t="str">
        <x:v>project_state.md §14 非功能需求基线</x:v>
      </x:c>
      <x:c r="H119" s="60" t="str">
        <x:v>跨模块适用</x:v>
      </x:c>
    </x:row>
    <x:row r="120" ht="32" customHeight="1">
      <x:c r="A120" s="58" t="str">
        <x:v>NFR-API-02</x:v>
      </x:c>
      <x:c r="B120" s="59" t="str">
        <x:v>NFR</x:v>
      </x:c>
      <x:c r="C120" s="59" t="str">
        <x:v>非功能需求/API</x:v>
      </x:c>
      <x:c r="D120" s="59" t="str">
        <x:v>图片上传使用 multipart/form-data</x:v>
      </x:c>
      <x:c r="E120" s="59" t="str">
        <x:v>RTM-M01-05；RTM-M02-05；RTM-M04-05；RTM-M06-01</x:v>
      </x:c>
      <x:c r="F120" s="59" t="str">
        <x:f>IF(E120&lt;&gt;"","已映射","未映射")</x:f>
        <x:v>已映射</x:v>
      </x:c>
      <x:c r="G120" s="59" t="str">
        <x:v>project_state.md §14 非功能需求基线</x:v>
      </x:c>
      <x:c r="H120" s="60" t="str">
        <x:v>跨模块适用</x:v>
      </x:c>
    </x:row>
    <x:row r="121" ht="32" customHeight="1">
      <x:c r="A121" s="61" t="str">
        <x:v>NFR-ERR-01</x:v>
      </x:c>
      <x:c r="B121" s="62" t="str">
        <x:v>NFR</x:v>
      </x:c>
      <x:c r="C121" s="62" t="str">
        <x:v>非功能需求/ERR</x:v>
      </x:c>
      <x:c r="D121" s="62" t="str">
        <x:v>业务异常返回明确错误信息，不向普通用户暴露数据库异常或服务端堆栈</x:v>
      </x:c>
      <x:c r="E121" s="62" t="str">
        <x:v>RTM-M01-02；RTM-M01-05；RTM-M02-03</x:v>
      </x:c>
      <x:c r="F121" s="62" t="str">
        <x:f>IF(E121&lt;&gt;"","已映射","未映射")</x:f>
        <x:v>已映射</x:v>
      </x:c>
      <x:c r="G121" s="62" t="str">
        <x:v>project_state.md §14 非功能需求基线</x:v>
      </x:c>
      <x:c r="H121" s="63" t="str">
        <x:v>跨模块适用</x:v>
      </x:c>
    </x:row>
  </x:sheetData>
  <x:conditionalFormatting sqref="F2:F121">
    <x:cfRule type="expression" dxfId="13" priority="1">
      <x:formula>F2="已映射"</x:formula>
    </x:cfRule>
    <x:cfRule type="expression" dxfId="14" priority="2">
      <x:formula>F2="未映射"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0674bd027641db"/>
  </x:tableParts>
</x:worksheet>
</file>